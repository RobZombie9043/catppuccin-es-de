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catppuccin2-es-de\_inc\systems\coversize-grid\"/>
    </mc:Choice>
  </mc:AlternateContent>
  <xr:revisionPtr revIDLastSave="0" documentId="13_ncr:1_{63B3C781-6A5C-4FEC-877E-0C286AFF1EDB}" xr6:coauthVersionLast="47" xr6:coauthVersionMax="47" xr10:uidLastSave="{00000000-0000-0000-0000-000000000000}"/>
  <bookViews>
    <workbookView xWindow="19200" yWindow="0" windowWidth="19200" windowHeight="15600" activeTab="1" xr2:uid="{827E44F2-C962-4892-B8CC-40A8B9142301}"/>
  </bookViews>
  <sheets>
    <sheet name="Sheet1" sheetId="1" r:id="rId1"/>
    <sheet name="xml" sheetId="3" r:id="rId2"/>
  </sheets>
  <definedNames>
    <definedName name="dropdownList" localSheetId="1">xml!$M$2</definedName>
    <definedName name="dropdown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1" i="3" l="1"/>
  <c r="C107" i="3"/>
  <c r="C93" i="3"/>
  <c r="C79" i="3"/>
  <c r="C65" i="3"/>
  <c r="C51" i="3"/>
  <c r="C37" i="3"/>
  <c r="C23" i="3"/>
  <c r="C115" i="3"/>
  <c r="C101" i="3"/>
  <c r="C87" i="3"/>
  <c r="C73" i="3"/>
  <c r="C59" i="3"/>
  <c r="C45" i="3"/>
  <c r="C31" i="3"/>
  <c r="C17" i="3"/>
  <c r="C9" i="3"/>
  <c r="C3" i="3"/>
  <c r="O6" i="1"/>
  <c r="R7" i="1" s="1"/>
  <c r="M79" i="1"/>
  <c r="M80" i="1"/>
  <c r="M81" i="1"/>
  <c r="M82" i="1"/>
  <c r="M10" i="1" s="1"/>
  <c r="M34" i="1" s="1"/>
  <c r="X82" i="1" s="1"/>
  <c r="AI82" i="1" s="1"/>
  <c r="M83" i="1"/>
  <c r="M183" i="1" s="1"/>
  <c r="M111" i="1" s="1"/>
  <c r="M135" i="1" s="1"/>
  <c r="X183" i="1" s="1"/>
  <c r="M84" i="1"/>
  <c r="M85" i="1"/>
  <c r="M86" i="1"/>
  <c r="M87" i="1"/>
  <c r="M187" i="1" s="1"/>
  <c r="M115" i="1" s="1"/>
  <c r="M139" i="1" s="1"/>
  <c r="X187" i="1" s="1"/>
  <c r="M88" i="1"/>
  <c r="M89" i="1"/>
  <c r="M90" i="1"/>
  <c r="M18" i="1" s="1"/>
  <c r="M42" i="1" s="1"/>
  <c r="X90" i="1" s="1"/>
  <c r="AI90" i="1" s="1"/>
  <c r="M91" i="1"/>
  <c r="M191" i="1" s="1"/>
  <c r="M119" i="1" s="1"/>
  <c r="M143" i="1" s="1"/>
  <c r="X191" i="1" s="1"/>
  <c r="M92" i="1"/>
  <c r="M93" i="1"/>
  <c r="M94" i="1"/>
  <c r="M194" i="1" s="1"/>
  <c r="M122" i="1" s="1"/>
  <c r="M146" i="1" s="1"/>
  <c r="X194" i="1" s="1"/>
  <c r="M95" i="1"/>
  <c r="M14" i="1"/>
  <c r="M38" i="1" s="1"/>
  <c r="X86" i="1" s="1"/>
  <c r="M22" i="1"/>
  <c r="M46" i="1" s="1"/>
  <c r="X94" i="1" s="1"/>
  <c r="M195" i="1"/>
  <c r="M123" i="1" s="1"/>
  <c r="M147" i="1" s="1"/>
  <c r="X195" i="1" s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M180" i="1"/>
  <c r="M181" i="1"/>
  <c r="M109" i="1" s="1"/>
  <c r="M133" i="1" s="1"/>
  <c r="X181" i="1" s="1"/>
  <c r="M182" i="1"/>
  <c r="M110" i="1" s="1"/>
  <c r="M134" i="1" s="1"/>
  <c r="X182" i="1" s="1"/>
  <c r="M184" i="1"/>
  <c r="M185" i="1"/>
  <c r="M113" i="1" s="1"/>
  <c r="M137" i="1" s="1"/>
  <c r="X185" i="1" s="1"/>
  <c r="M186" i="1"/>
  <c r="M114" i="1" s="1"/>
  <c r="M138" i="1" s="1"/>
  <c r="X186" i="1" s="1"/>
  <c r="M188" i="1"/>
  <c r="M116" i="1" s="1"/>
  <c r="M140" i="1" s="1"/>
  <c r="X188" i="1" s="1"/>
  <c r="M189" i="1"/>
  <c r="M192" i="1"/>
  <c r="M193" i="1"/>
  <c r="M179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55" i="1"/>
  <c r="M132" i="1"/>
  <c r="X180" i="1" s="1"/>
  <c r="M8" i="1"/>
  <c r="M9" i="1"/>
  <c r="M12" i="1"/>
  <c r="M13" i="1"/>
  <c r="M16" i="1"/>
  <c r="M17" i="1"/>
  <c r="M20" i="1"/>
  <c r="M21" i="1"/>
  <c r="M32" i="1"/>
  <c r="X80" i="1" s="1"/>
  <c r="AI80" i="1" s="1"/>
  <c r="M33" i="1"/>
  <c r="M36" i="1"/>
  <c r="M37" i="1"/>
  <c r="X85" i="1" s="1"/>
  <c r="AI85" i="1" s="1"/>
  <c r="M40" i="1"/>
  <c r="X88" i="1" s="1"/>
  <c r="AI88" i="1" s="1"/>
  <c r="M41" i="1"/>
  <c r="X89" i="1" s="1"/>
  <c r="AI89" i="1" s="1"/>
  <c r="M44" i="1"/>
  <c r="X92" i="1" s="1"/>
  <c r="AI92" i="1" s="1"/>
  <c r="M45" i="1"/>
  <c r="X93" i="1" s="1"/>
  <c r="AI93" i="1" s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55" i="1"/>
  <c r="M108" i="1"/>
  <c r="M112" i="1"/>
  <c r="M136" i="1" s="1"/>
  <c r="X184" i="1" s="1"/>
  <c r="M117" i="1"/>
  <c r="M141" i="1" s="1"/>
  <c r="X189" i="1" s="1"/>
  <c r="M120" i="1"/>
  <c r="M144" i="1" s="1"/>
  <c r="X192" i="1" s="1"/>
  <c r="M121" i="1"/>
  <c r="M145" i="1" s="1"/>
  <c r="X193" i="1" s="1"/>
  <c r="M107" i="1"/>
  <c r="M131" i="1" s="1"/>
  <c r="X179" i="1" s="1"/>
  <c r="X81" i="1"/>
  <c r="AI81" i="1" s="1"/>
  <c r="X84" i="1"/>
  <c r="AI84" i="1" s="1"/>
  <c r="M7" i="1"/>
  <c r="M31" i="1" s="1"/>
  <c r="X79" i="1" s="1"/>
  <c r="AI79" i="1" s="1"/>
  <c r="L7" i="1"/>
  <c r="E180" i="1"/>
  <c r="F180" i="1"/>
  <c r="G180" i="1"/>
  <c r="H180" i="1"/>
  <c r="I180" i="1"/>
  <c r="J180" i="1"/>
  <c r="K180" i="1"/>
  <c r="L180" i="1"/>
  <c r="E181" i="1"/>
  <c r="F181" i="1"/>
  <c r="G181" i="1"/>
  <c r="G109" i="1" s="1"/>
  <c r="H181" i="1"/>
  <c r="I181" i="1"/>
  <c r="J181" i="1"/>
  <c r="K181" i="1"/>
  <c r="K109" i="1" s="1"/>
  <c r="K133" i="1" s="1"/>
  <c r="L181" i="1"/>
  <c r="L109" i="1" s="1"/>
  <c r="E182" i="1"/>
  <c r="F182" i="1"/>
  <c r="G182" i="1"/>
  <c r="H182" i="1"/>
  <c r="I182" i="1"/>
  <c r="J182" i="1"/>
  <c r="K182" i="1"/>
  <c r="L182" i="1"/>
  <c r="E183" i="1"/>
  <c r="F183" i="1"/>
  <c r="G183" i="1"/>
  <c r="H183" i="1"/>
  <c r="I183" i="1"/>
  <c r="J183" i="1"/>
  <c r="K183" i="1"/>
  <c r="L183" i="1"/>
  <c r="E184" i="1"/>
  <c r="F184" i="1"/>
  <c r="G184" i="1"/>
  <c r="H184" i="1"/>
  <c r="I184" i="1"/>
  <c r="J184" i="1"/>
  <c r="K184" i="1"/>
  <c r="L184" i="1"/>
  <c r="L112" i="1" s="1"/>
  <c r="E185" i="1"/>
  <c r="F185" i="1"/>
  <c r="G185" i="1"/>
  <c r="H185" i="1"/>
  <c r="I185" i="1"/>
  <c r="J185" i="1"/>
  <c r="K185" i="1"/>
  <c r="L185" i="1"/>
  <c r="L113" i="1" s="1"/>
  <c r="E186" i="1"/>
  <c r="F186" i="1"/>
  <c r="G186" i="1"/>
  <c r="H186" i="1"/>
  <c r="I186" i="1"/>
  <c r="J186" i="1"/>
  <c r="K186" i="1"/>
  <c r="L186" i="1"/>
  <c r="E187" i="1"/>
  <c r="F187" i="1"/>
  <c r="G187" i="1"/>
  <c r="H187" i="1"/>
  <c r="I187" i="1"/>
  <c r="J187" i="1"/>
  <c r="K187" i="1"/>
  <c r="L187" i="1"/>
  <c r="E188" i="1"/>
  <c r="F188" i="1"/>
  <c r="G188" i="1"/>
  <c r="H188" i="1"/>
  <c r="I188" i="1"/>
  <c r="J188" i="1"/>
  <c r="K188" i="1"/>
  <c r="L188" i="1"/>
  <c r="E189" i="1"/>
  <c r="F189" i="1"/>
  <c r="G189" i="1"/>
  <c r="H189" i="1"/>
  <c r="I189" i="1"/>
  <c r="J189" i="1"/>
  <c r="K189" i="1"/>
  <c r="L189" i="1"/>
  <c r="E190" i="1"/>
  <c r="F190" i="1"/>
  <c r="G190" i="1"/>
  <c r="H190" i="1"/>
  <c r="I190" i="1"/>
  <c r="J190" i="1"/>
  <c r="K190" i="1"/>
  <c r="L190" i="1"/>
  <c r="E191" i="1"/>
  <c r="F191" i="1"/>
  <c r="G191" i="1"/>
  <c r="H191" i="1"/>
  <c r="I191" i="1"/>
  <c r="J191" i="1"/>
  <c r="K191" i="1"/>
  <c r="L191" i="1"/>
  <c r="L119" i="1" s="1"/>
  <c r="L143" i="1" s="1"/>
  <c r="E192" i="1"/>
  <c r="F192" i="1"/>
  <c r="G192" i="1"/>
  <c r="H192" i="1"/>
  <c r="I192" i="1"/>
  <c r="J192" i="1"/>
  <c r="K192" i="1"/>
  <c r="L192" i="1"/>
  <c r="L120" i="1" s="1"/>
  <c r="E193" i="1"/>
  <c r="F193" i="1"/>
  <c r="G193" i="1"/>
  <c r="G121" i="1" s="1"/>
  <c r="G145" i="1" s="1"/>
  <c r="H193" i="1"/>
  <c r="I193" i="1"/>
  <c r="J193" i="1"/>
  <c r="K193" i="1"/>
  <c r="L193" i="1"/>
  <c r="L121" i="1" s="1"/>
  <c r="E194" i="1"/>
  <c r="F194" i="1"/>
  <c r="G194" i="1"/>
  <c r="H194" i="1"/>
  <c r="I194" i="1"/>
  <c r="J194" i="1"/>
  <c r="K194" i="1"/>
  <c r="L194" i="1"/>
  <c r="E195" i="1"/>
  <c r="F195" i="1"/>
  <c r="G195" i="1"/>
  <c r="H195" i="1"/>
  <c r="I195" i="1"/>
  <c r="J195" i="1"/>
  <c r="K195" i="1"/>
  <c r="L195" i="1"/>
  <c r="L123" i="1" s="1"/>
  <c r="F179" i="1"/>
  <c r="G179" i="1"/>
  <c r="H179" i="1"/>
  <c r="I179" i="1"/>
  <c r="J179" i="1"/>
  <c r="K179" i="1"/>
  <c r="L179" i="1"/>
  <c r="E179" i="1"/>
  <c r="E156" i="1"/>
  <c r="F156" i="1"/>
  <c r="G156" i="1"/>
  <c r="H156" i="1"/>
  <c r="I156" i="1"/>
  <c r="J156" i="1"/>
  <c r="K156" i="1"/>
  <c r="L156" i="1"/>
  <c r="E157" i="1"/>
  <c r="F157" i="1"/>
  <c r="G157" i="1"/>
  <c r="H157" i="1"/>
  <c r="I157" i="1"/>
  <c r="J157" i="1"/>
  <c r="K157" i="1"/>
  <c r="L157" i="1"/>
  <c r="E158" i="1"/>
  <c r="F158" i="1"/>
  <c r="G158" i="1"/>
  <c r="H158" i="1"/>
  <c r="I158" i="1"/>
  <c r="J158" i="1"/>
  <c r="K158" i="1"/>
  <c r="L158" i="1"/>
  <c r="E159" i="1"/>
  <c r="F159" i="1"/>
  <c r="G159" i="1"/>
  <c r="H159" i="1"/>
  <c r="I159" i="1"/>
  <c r="J159" i="1"/>
  <c r="K159" i="1"/>
  <c r="L159" i="1"/>
  <c r="E160" i="1"/>
  <c r="F160" i="1"/>
  <c r="G160" i="1"/>
  <c r="H160" i="1"/>
  <c r="I160" i="1"/>
  <c r="J160" i="1"/>
  <c r="K160" i="1"/>
  <c r="L160" i="1"/>
  <c r="E161" i="1"/>
  <c r="F161" i="1"/>
  <c r="G161" i="1"/>
  <c r="H161" i="1"/>
  <c r="I161" i="1"/>
  <c r="J161" i="1"/>
  <c r="K161" i="1"/>
  <c r="L161" i="1"/>
  <c r="E162" i="1"/>
  <c r="F162" i="1"/>
  <c r="G162" i="1"/>
  <c r="H162" i="1"/>
  <c r="I162" i="1"/>
  <c r="J162" i="1"/>
  <c r="K162" i="1"/>
  <c r="L162" i="1"/>
  <c r="E163" i="1"/>
  <c r="F163" i="1"/>
  <c r="G163" i="1"/>
  <c r="H163" i="1"/>
  <c r="I163" i="1"/>
  <c r="J163" i="1"/>
  <c r="K163" i="1"/>
  <c r="L163" i="1"/>
  <c r="E164" i="1"/>
  <c r="F164" i="1"/>
  <c r="G164" i="1"/>
  <c r="H164" i="1"/>
  <c r="I164" i="1"/>
  <c r="J164" i="1"/>
  <c r="K164" i="1"/>
  <c r="L164" i="1"/>
  <c r="E165" i="1"/>
  <c r="F165" i="1"/>
  <c r="G165" i="1"/>
  <c r="H165" i="1"/>
  <c r="I165" i="1"/>
  <c r="J165" i="1"/>
  <c r="K165" i="1"/>
  <c r="L165" i="1"/>
  <c r="E166" i="1"/>
  <c r="F166" i="1"/>
  <c r="G166" i="1"/>
  <c r="H166" i="1"/>
  <c r="I166" i="1"/>
  <c r="J166" i="1"/>
  <c r="K166" i="1"/>
  <c r="L166" i="1"/>
  <c r="E167" i="1"/>
  <c r="F167" i="1"/>
  <c r="G167" i="1"/>
  <c r="H167" i="1"/>
  <c r="I167" i="1"/>
  <c r="J167" i="1"/>
  <c r="K167" i="1"/>
  <c r="L167" i="1"/>
  <c r="E168" i="1"/>
  <c r="F168" i="1"/>
  <c r="G168" i="1"/>
  <c r="H168" i="1"/>
  <c r="I168" i="1"/>
  <c r="J168" i="1"/>
  <c r="K168" i="1"/>
  <c r="L168" i="1"/>
  <c r="E169" i="1"/>
  <c r="F169" i="1"/>
  <c r="G169" i="1"/>
  <c r="H169" i="1"/>
  <c r="I169" i="1"/>
  <c r="J169" i="1"/>
  <c r="K169" i="1"/>
  <c r="L169" i="1"/>
  <c r="E170" i="1"/>
  <c r="F170" i="1"/>
  <c r="G170" i="1"/>
  <c r="H170" i="1"/>
  <c r="I170" i="1"/>
  <c r="J170" i="1"/>
  <c r="K170" i="1"/>
  <c r="L170" i="1"/>
  <c r="E171" i="1"/>
  <c r="F171" i="1"/>
  <c r="G171" i="1"/>
  <c r="H171" i="1"/>
  <c r="I171" i="1"/>
  <c r="J171" i="1"/>
  <c r="K171" i="1"/>
  <c r="L171" i="1"/>
  <c r="F155" i="1"/>
  <c r="G155" i="1"/>
  <c r="H155" i="1"/>
  <c r="I155" i="1"/>
  <c r="J155" i="1"/>
  <c r="K155" i="1"/>
  <c r="L155" i="1"/>
  <c r="E155" i="1"/>
  <c r="F133" i="1"/>
  <c r="Q181" i="1" s="1"/>
  <c r="J133" i="1"/>
  <c r="U181" i="1" s="1"/>
  <c r="F134" i="1"/>
  <c r="I137" i="1"/>
  <c r="T185" i="1" s="1"/>
  <c r="J137" i="1"/>
  <c r="I141" i="1"/>
  <c r="T189" i="1" s="1"/>
  <c r="J141" i="1"/>
  <c r="F142" i="1"/>
  <c r="F145" i="1"/>
  <c r="I145" i="1"/>
  <c r="J146" i="1"/>
  <c r="E135" i="1"/>
  <c r="P183" i="1" s="1"/>
  <c r="E138" i="1"/>
  <c r="E139" i="1"/>
  <c r="E142" i="1"/>
  <c r="E143" i="1"/>
  <c r="E146" i="1"/>
  <c r="E147" i="1"/>
  <c r="I123" i="1"/>
  <c r="I147" i="1" s="1"/>
  <c r="A195" i="1"/>
  <c r="A194" i="1"/>
  <c r="K121" i="1"/>
  <c r="K145" i="1" s="1"/>
  <c r="A193" i="1"/>
  <c r="A192" i="1"/>
  <c r="A191" i="1"/>
  <c r="A190" i="1"/>
  <c r="A189" i="1"/>
  <c r="A188" i="1"/>
  <c r="I115" i="1"/>
  <c r="I139" i="1" s="1"/>
  <c r="A187" i="1"/>
  <c r="J114" i="1"/>
  <c r="A186" i="1"/>
  <c r="A185" i="1"/>
  <c r="A184" i="1"/>
  <c r="A183" i="1"/>
  <c r="L111" i="1" s="1"/>
  <c r="A182" i="1"/>
  <c r="A181" i="1"/>
  <c r="H108" i="1"/>
  <c r="A180" i="1"/>
  <c r="A179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47" i="1"/>
  <c r="A146" i="1"/>
  <c r="A145" i="1"/>
  <c r="A144" i="1"/>
  <c r="A143" i="1"/>
  <c r="P190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E123" i="1"/>
  <c r="A123" i="1"/>
  <c r="J122" i="1"/>
  <c r="I122" i="1"/>
  <c r="I146" i="1" s="1"/>
  <c r="F122" i="1"/>
  <c r="E122" i="1"/>
  <c r="A122" i="1"/>
  <c r="J121" i="1"/>
  <c r="I121" i="1"/>
  <c r="F121" i="1"/>
  <c r="E121" i="1"/>
  <c r="E145" i="1" s="1"/>
  <c r="P193" i="1" s="1"/>
  <c r="A121" i="1"/>
  <c r="A120" i="1"/>
  <c r="I119" i="1"/>
  <c r="I143" i="1" s="1"/>
  <c r="E119" i="1"/>
  <c r="A119" i="1"/>
  <c r="J118" i="1"/>
  <c r="J142" i="1" s="1"/>
  <c r="U190" i="1" s="1"/>
  <c r="I118" i="1"/>
  <c r="F118" i="1"/>
  <c r="E118" i="1"/>
  <c r="A118" i="1"/>
  <c r="K117" i="1"/>
  <c r="K141" i="1" s="1"/>
  <c r="J117" i="1"/>
  <c r="I117" i="1"/>
  <c r="G117" i="1"/>
  <c r="G141" i="1" s="1"/>
  <c r="F117" i="1"/>
  <c r="F141" i="1" s="1"/>
  <c r="Q189" i="1" s="1"/>
  <c r="E117" i="1"/>
  <c r="E141" i="1" s="1"/>
  <c r="A117" i="1"/>
  <c r="A116" i="1"/>
  <c r="L115" i="1"/>
  <c r="E115" i="1"/>
  <c r="A115" i="1"/>
  <c r="I114" i="1"/>
  <c r="F114" i="1"/>
  <c r="F138" i="1" s="1"/>
  <c r="Q186" i="1" s="1"/>
  <c r="E114" i="1"/>
  <c r="A114" i="1"/>
  <c r="K113" i="1"/>
  <c r="K137" i="1" s="1"/>
  <c r="J113" i="1"/>
  <c r="I113" i="1"/>
  <c r="G113" i="1"/>
  <c r="G137" i="1" s="1"/>
  <c r="F113" i="1"/>
  <c r="E113" i="1"/>
  <c r="E137" i="1" s="1"/>
  <c r="P185" i="1" s="1"/>
  <c r="A113" i="1"/>
  <c r="A112" i="1"/>
  <c r="I111" i="1"/>
  <c r="E111" i="1"/>
  <c r="A111" i="1"/>
  <c r="J110" i="1"/>
  <c r="J134" i="1" s="1"/>
  <c r="U182" i="1" s="1"/>
  <c r="I110" i="1"/>
  <c r="I134" i="1" s="1"/>
  <c r="F110" i="1"/>
  <c r="E110" i="1"/>
  <c r="E134" i="1" s="1"/>
  <c r="P182" i="1" s="1"/>
  <c r="A110" i="1"/>
  <c r="J109" i="1"/>
  <c r="I109" i="1"/>
  <c r="I133" i="1" s="1"/>
  <c r="T181" i="1" s="1"/>
  <c r="F109" i="1"/>
  <c r="E109" i="1"/>
  <c r="E133" i="1" s="1"/>
  <c r="P181" i="1" s="1"/>
  <c r="A109" i="1"/>
  <c r="A108" i="1"/>
  <c r="L107" i="1"/>
  <c r="L131" i="1" s="1"/>
  <c r="W179" i="1" s="1"/>
  <c r="I107" i="1"/>
  <c r="I131" i="1" s="1"/>
  <c r="E107" i="1"/>
  <c r="A107" i="1"/>
  <c r="L80" i="1"/>
  <c r="L81" i="1"/>
  <c r="L9" i="1" s="1"/>
  <c r="L33" i="1" s="1"/>
  <c r="W81" i="1" s="1"/>
  <c r="AH81" i="1" s="1"/>
  <c r="L82" i="1"/>
  <c r="L10" i="1" s="1"/>
  <c r="L34" i="1" s="1"/>
  <c r="W82" i="1" s="1"/>
  <c r="AH82" i="1" s="1"/>
  <c r="L83" i="1"/>
  <c r="L11" i="1" s="1"/>
  <c r="L35" i="1" s="1"/>
  <c r="W83" i="1" s="1"/>
  <c r="AH83" i="1" s="1"/>
  <c r="L84" i="1"/>
  <c r="L85" i="1"/>
  <c r="L86" i="1"/>
  <c r="L87" i="1"/>
  <c r="L88" i="1"/>
  <c r="L89" i="1"/>
  <c r="L90" i="1"/>
  <c r="L18" i="1" s="1"/>
  <c r="L42" i="1" s="1"/>
  <c r="W90" i="1" s="1"/>
  <c r="AH90" i="1" s="1"/>
  <c r="L91" i="1"/>
  <c r="L19" i="1" s="1"/>
  <c r="L43" i="1" s="1"/>
  <c r="W91" i="1" s="1"/>
  <c r="AH91" i="1" s="1"/>
  <c r="L92" i="1"/>
  <c r="L93" i="1"/>
  <c r="L94" i="1"/>
  <c r="L22" i="1" s="1"/>
  <c r="L46" i="1" s="1"/>
  <c r="W94" i="1" s="1"/>
  <c r="AH94" i="1" s="1"/>
  <c r="L95" i="1"/>
  <c r="L23" i="1" s="1"/>
  <c r="L47" i="1" s="1"/>
  <c r="W95" i="1" s="1"/>
  <c r="AH95" i="1" s="1"/>
  <c r="L13" i="1"/>
  <c r="L37" i="1" s="1"/>
  <c r="W85" i="1" s="1"/>
  <c r="AH85" i="1" s="1"/>
  <c r="L15" i="1"/>
  <c r="L39" i="1" s="1"/>
  <c r="W87" i="1" s="1"/>
  <c r="AH87" i="1" s="1"/>
  <c r="L14" i="1"/>
  <c r="L38" i="1" s="1"/>
  <c r="W86" i="1" s="1"/>
  <c r="AH86" i="1" s="1"/>
  <c r="L79" i="1"/>
  <c r="AB79" i="1"/>
  <c r="AC79" i="1"/>
  <c r="AD79" i="1"/>
  <c r="AE79" i="1"/>
  <c r="AF79" i="1"/>
  <c r="AG79" i="1"/>
  <c r="AB80" i="1"/>
  <c r="AC80" i="1"/>
  <c r="AD80" i="1"/>
  <c r="AE80" i="1"/>
  <c r="AF80" i="1"/>
  <c r="AG80" i="1"/>
  <c r="AB81" i="1"/>
  <c r="AC81" i="1"/>
  <c r="AD81" i="1"/>
  <c r="AE81" i="1"/>
  <c r="AF81" i="1"/>
  <c r="AG81" i="1"/>
  <c r="AB82" i="1"/>
  <c r="AC82" i="1"/>
  <c r="AD82" i="1"/>
  <c r="AE82" i="1"/>
  <c r="AF82" i="1"/>
  <c r="AG82" i="1"/>
  <c r="AB83" i="1"/>
  <c r="AC83" i="1"/>
  <c r="AD83" i="1"/>
  <c r="AE83" i="1"/>
  <c r="AF83" i="1"/>
  <c r="AG83" i="1"/>
  <c r="AB84" i="1"/>
  <c r="AC84" i="1"/>
  <c r="AD84" i="1"/>
  <c r="AE84" i="1"/>
  <c r="AF84" i="1"/>
  <c r="AG84" i="1"/>
  <c r="AB85" i="1"/>
  <c r="AC85" i="1"/>
  <c r="AD85" i="1"/>
  <c r="AE85" i="1"/>
  <c r="AF85" i="1"/>
  <c r="AG85" i="1"/>
  <c r="AB86" i="1"/>
  <c r="AC86" i="1"/>
  <c r="AD86" i="1"/>
  <c r="AE86" i="1"/>
  <c r="AF86" i="1"/>
  <c r="AG86" i="1"/>
  <c r="AB87" i="1"/>
  <c r="AC87" i="1"/>
  <c r="AD87" i="1"/>
  <c r="AE87" i="1"/>
  <c r="AF87" i="1"/>
  <c r="AG87" i="1"/>
  <c r="AB88" i="1"/>
  <c r="AC88" i="1"/>
  <c r="AD88" i="1"/>
  <c r="AE88" i="1"/>
  <c r="AF88" i="1"/>
  <c r="AG88" i="1"/>
  <c r="AB89" i="1"/>
  <c r="AC89" i="1"/>
  <c r="AD89" i="1"/>
  <c r="AE89" i="1"/>
  <c r="AF89" i="1"/>
  <c r="AG89" i="1"/>
  <c r="AB90" i="1"/>
  <c r="AC90" i="1"/>
  <c r="AD90" i="1"/>
  <c r="AE90" i="1"/>
  <c r="AF90" i="1"/>
  <c r="AG90" i="1"/>
  <c r="AB91" i="1"/>
  <c r="AC91" i="1"/>
  <c r="AD91" i="1"/>
  <c r="AE91" i="1"/>
  <c r="AF91" i="1"/>
  <c r="AG91" i="1"/>
  <c r="AB92" i="1"/>
  <c r="AC92" i="1"/>
  <c r="AD92" i="1"/>
  <c r="AE92" i="1"/>
  <c r="AF92" i="1"/>
  <c r="AG92" i="1"/>
  <c r="AB93" i="1"/>
  <c r="AC93" i="1"/>
  <c r="AD93" i="1"/>
  <c r="AE93" i="1"/>
  <c r="AF93" i="1"/>
  <c r="AG93" i="1"/>
  <c r="AB94" i="1"/>
  <c r="AC94" i="1"/>
  <c r="AD94" i="1"/>
  <c r="AE94" i="1"/>
  <c r="AF94" i="1"/>
  <c r="AG94" i="1"/>
  <c r="AB95" i="1"/>
  <c r="AC95" i="1"/>
  <c r="AD95" i="1"/>
  <c r="AE95" i="1"/>
  <c r="AF95" i="1"/>
  <c r="AG95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79" i="1"/>
  <c r="F88" i="1"/>
  <c r="F16" i="1" s="1"/>
  <c r="F40" i="1" s="1"/>
  <c r="Q88" i="1" s="1"/>
  <c r="P80" i="1"/>
  <c r="Q80" i="1"/>
  <c r="R80" i="1"/>
  <c r="S80" i="1"/>
  <c r="T80" i="1"/>
  <c r="U80" i="1"/>
  <c r="V80" i="1"/>
  <c r="P81" i="1"/>
  <c r="Q81" i="1"/>
  <c r="R81" i="1"/>
  <c r="S81" i="1"/>
  <c r="T81" i="1"/>
  <c r="U81" i="1"/>
  <c r="V81" i="1"/>
  <c r="P82" i="1"/>
  <c r="Q82" i="1"/>
  <c r="R82" i="1"/>
  <c r="S82" i="1"/>
  <c r="T82" i="1"/>
  <c r="U82" i="1"/>
  <c r="V82" i="1"/>
  <c r="P83" i="1"/>
  <c r="Q83" i="1"/>
  <c r="R83" i="1"/>
  <c r="S83" i="1"/>
  <c r="T83" i="1"/>
  <c r="U83" i="1"/>
  <c r="V83" i="1"/>
  <c r="P84" i="1"/>
  <c r="Q84" i="1"/>
  <c r="R84" i="1"/>
  <c r="S84" i="1"/>
  <c r="T84" i="1"/>
  <c r="U84" i="1"/>
  <c r="V84" i="1"/>
  <c r="P85" i="1"/>
  <c r="Q85" i="1"/>
  <c r="R85" i="1"/>
  <c r="S85" i="1"/>
  <c r="T85" i="1"/>
  <c r="U85" i="1"/>
  <c r="V85" i="1"/>
  <c r="P86" i="1"/>
  <c r="Q86" i="1"/>
  <c r="R86" i="1"/>
  <c r="S86" i="1"/>
  <c r="T86" i="1"/>
  <c r="U86" i="1"/>
  <c r="V86" i="1"/>
  <c r="P87" i="1"/>
  <c r="Q87" i="1"/>
  <c r="R87" i="1"/>
  <c r="S87" i="1"/>
  <c r="T87" i="1"/>
  <c r="U87" i="1"/>
  <c r="V87" i="1"/>
  <c r="P88" i="1"/>
  <c r="R88" i="1"/>
  <c r="S88" i="1"/>
  <c r="T88" i="1"/>
  <c r="U88" i="1"/>
  <c r="V88" i="1"/>
  <c r="P89" i="1"/>
  <c r="Q89" i="1"/>
  <c r="R89" i="1"/>
  <c r="S89" i="1"/>
  <c r="T89" i="1"/>
  <c r="U89" i="1"/>
  <c r="V89" i="1"/>
  <c r="P90" i="1"/>
  <c r="Q90" i="1"/>
  <c r="R90" i="1"/>
  <c r="S90" i="1"/>
  <c r="T90" i="1"/>
  <c r="U90" i="1"/>
  <c r="V90" i="1"/>
  <c r="P91" i="1"/>
  <c r="Q91" i="1"/>
  <c r="R91" i="1"/>
  <c r="S91" i="1"/>
  <c r="T91" i="1"/>
  <c r="U91" i="1"/>
  <c r="V91" i="1"/>
  <c r="P92" i="1"/>
  <c r="Q92" i="1"/>
  <c r="R92" i="1"/>
  <c r="S92" i="1"/>
  <c r="T92" i="1"/>
  <c r="U92" i="1"/>
  <c r="V92" i="1"/>
  <c r="P93" i="1"/>
  <c r="Q93" i="1"/>
  <c r="R93" i="1"/>
  <c r="S93" i="1"/>
  <c r="T93" i="1"/>
  <c r="U93" i="1"/>
  <c r="V93" i="1"/>
  <c r="P94" i="1"/>
  <c r="Q94" i="1"/>
  <c r="R94" i="1"/>
  <c r="S94" i="1"/>
  <c r="T94" i="1"/>
  <c r="U94" i="1"/>
  <c r="V94" i="1"/>
  <c r="P95" i="1"/>
  <c r="Q95" i="1"/>
  <c r="R95" i="1"/>
  <c r="S95" i="1"/>
  <c r="T95" i="1"/>
  <c r="U95" i="1"/>
  <c r="V95" i="1"/>
  <c r="Q79" i="1"/>
  <c r="R79" i="1"/>
  <c r="S79" i="1"/>
  <c r="T79" i="1"/>
  <c r="U79" i="1"/>
  <c r="V79" i="1"/>
  <c r="W79" i="1"/>
  <c r="AH79" i="1" s="1"/>
  <c r="P79" i="1"/>
  <c r="E80" i="1"/>
  <c r="E81" i="1"/>
  <c r="E9" i="1" s="1"/>
  <c r="E33" i="1" s="1"/>
  <c r="E82" i="1"/>
  <c r="E10" i="1" s="1"/>
  <c r="E34" i="1" s="1"/>
  <c r="E83" i="1"/>
  <c r="E11" i="1" s="1"/>
  <c r="E35" i="1" s="1"/>
  <c r="E84" i="1"/>
  <c r="E85" i="1"/>
  <c r="E13" i="1" s="1"/>
  <c r="E37" i="1" s="1"/>
  <c r="E86" i="1"/>
  <c r="E14" i="1" s="1"/>
  <c r="E38" i="1" s="1"/>
  <c r="E87" i="1"/>
  <c r="E15" i="1" s="1"/>
  <c r="E39" i="1" s="1"/>
  <c r="E88" i="1"/>
  <c r="E89" i="1"/>
  <c r="E17" i="1" s="1"/>
  <c r="E41" i="1" s="1"/>
  <c r="E90" i="1"/>
  <c r="E18" i="1" s="1"/>
  <c r="E42" i="1" s="1"/>
  <c r="E91" i="1"/>
  <c r="E19" i="1" s="1"/>
  <c r="E43" i="1" s="1"/>
  <c r="E92" i="1"/>
  <c r="E93" i="1"/>
  <c r="E21" i="1" s="1"/>
  <c r="E45" i="1" s="1"/>
  <c r="E94" i="1"/>
  <c r="E22" i="1" s="1"/>
  <c r="E46" i="1" s="1"/>
  <c r="E95" i="1"/>
  <c r="E23" i="1" s="1"/>
  <c r="E47" i="1" s="1"/>
  <c r="E79" i="1"/>
  <c r="E7" i="1" s="1"/>
  <c r="E31" i="1" s="1"/>
  <c r="J88" i="1"/>
  <c r="E8" i="1"/>
  <c r="F8" i="1"/>
  <c r="G8" i="1"/>
  <c r="H8" i="1"/>
  <c r="I8" i="1"/>
  <c r="J8" i="1"/>
  <c r="K8" i="1"/>
  <c r="K32" i="1" s="1"/>
  <c r="L8" i="1"/>
  <c r="L32" i="1" s="1"/>
  <c r="W80" i="1" s="1"/>
  <c r="AH80" i="1" s="1"/>
  <c r="F9" i="1"/>
  <c r="G9" i="1"/>
  <c r="G33" i="1" s="1"/>
  <c r="H9" i="1"/>
  <c r="H33" i="1" s="1"/>
  <c r="I9" i="1"/>
  <c r="J9" i="1"/>
  <c r="K9" i="1"/>
  <c r="F10" i="1"/>
  <c r="G10" i="1"/>
  <c r="H10" i="1"/>
  <c r="I10" i="1"/>
  <c r="J10" i="1"/>
  <c r="K10" i="1"/>
  <c r="K34" i="1" s="1"/>
  <c r="F11" i="1"/>
  <c r="G11" i="1"/>
  <c r="G35" i="1" s="1"/>
  <c r="H11" i="1"/>
  <c r="H35" i="1" s="1"/>
  <c r="I11" i="1"/>
  <c r="J11" i="1"/>
  <c r="K11" i="1"/>
  <c r="E12" i="1"/>
  <c r="F12" i="1"/>
  <c r="G12" i="1"/>
  <c r="H12" i="1"/>
  <c r="I12" i="1"/>
  <c r="J12" i="1"/>
  <c r="K12" i="1"/>
  <c r="K36" i="1" s="1"/>
  <c r="L12" i="1"/>
  <c r="L36" i="1" s="1"/>
  <c r="W84" i="1" s="1"/>
  <c r="AH84" i="1" s="1"/>
  <c r="F13" i="1"/>
  <c r="G13" i="1"/>
  <c r="G37" i="1" s="1"/>
  <c r="H13" i="1"/>
  <c r="H37" i="1" s="1"/>
  <c r="I13" i="1"/>
  <c r="J13" i="1"/>
  <c r="K13" i="1"/>
  <c r="F14" i="1"/>
  <c r="G14" i="1"/>
  <c r="H14" i="1"/>
  <c r="I14" i="1"/>
  <c r="J14" i="1"/>
  <c r="K14" i="1"/>
  <c r="K38" i="1" s="1"/>
  <c r="F15" i="1"/>
  <c r="G15" i="1"/>
  <c r="G39" i="1" s="1"/>
  <c r="H15" i="1"/>
  <c r="H39" i="1" s="1"/>
  <c r="I15" i="1"/>
  <c r="J15" i="1"/>
  <c r="K15" i="1"/>
  <c r="E16" i="1"/>
  <c r="G16" i="1"/>
  <c r="H16" i="1"/>
  <c r="I16" i="1"/>
  <c r="J16" i="1"/>
  <c r="K16" i="1"/>
  <c r="K40" i="1" s="1"/>
  <c r="L16" i="1"/>
  <c r="L40" i="1" s="1"/>
  <c r="W88" i="1" s="1"/>
  <c r="AH88" i="1" s="1"/>
  <c r="F17" i="1"/>
  <c r="G17" i="1"/>
  <c r="G41" i="1" s="1"/>
  <c r="H17" i="1"/>
  <c r="H41" i="1" s="1"/>
  <c r="I17" i="1"/>
  <c r="J17" i="1"/>
  <c r="K17" i="1"/>
  <c r="L17" i="1"/>
  <c r="L41" i="1" s="1"/>
  <c r="W89" i="1" s="1"/>
  <c r="AH89" i="1" s="1"/>
  <c r="F18" i="1"/>
  <c r="G18" i="1"/>
  <c r="H18" i="1"/>
  <c r="I18" i="1"/>
  <c r="J18" i="1"/>
  <c r="K18" i="1"/>
  <c r="K42" i="1" s="1"/>
  <c r="F19" i="1"/>
  <c r="G19" i="1"/>
  <c r="G43" i="1" s="1"/>
  <c r="H19" i="1"/>
  <c r="H43" i="1" s="1"/>
  <c r="I19" i="1"/>
  <c r="J19" i="1"/>
  <c r="K19" i="1"/>
  <c r="E20" i="1"/>
  <c r="F20" i="1"/>
  <c r="G20" i="1"/>
  <c r="H20" i="1"/>
  <c r="I20" i="1"/>
  <c r="J20" i="1"/>
  <c r="K20" i="1"/>
  <c r="K44" i="1" s="1"/>
  <c r="L20" i="1"/>
  <c r="L44" i="1" s="1"/>
  <c r="W92" i="1" s="1"/>
  <c r="AH92" i="1" s="1"/>
  <c r="F21" i="1"/>
  <c r="G21" i="1"/>
  <c r="G45" i="1" s="1"/>
  <c r="H21" i="1"/>
  <c r="H45" i="1" s="1"/>
  <c r="I21" i="1"/>
  <c r="J21" i="1"/>
  <c r="K21" i="1"/>
  <c r="L21" i="1"/>
  <c r="L45" i="1" s="1"/>
  <c r="W93" i="1" s="1"/>
  <c r="AH93" i="1" s="1"/>
  <c r="F22" i="1"/>
  <c r="G22" i="1"/>
  <c r="H22" i="1"/>
  <c r="I22" i="1"/>
  <c r="J22" i="1"/>
  <c r="K22" i="1"/>
  <c r="K46" i="1" s="1"/>
  <c r="F23" i="1"/>
  <c r="G23" i="1"/>
  <c r="G47" i="1" s="1"/>
  <c r="H23" i="1"/>
  <c r="H47" i="1" s="1"/>
  <c r="I23" i="1"/>
  <c r="J23" i="1"/>
  <c r="K23" i="1"/>
  <c r="F7" i="1"/>
  <c r="G7" i="1"/>
  <c r="H7" i="1"/>
  <c r="I7" i="1"/>
  <c r="J7" i="1"/>
  <c r="K7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J80" i="1"/>
  <c r="J81" i="1"/>
  <c r="J82" i="1"/>
  <c r="J83" i="1"/>
  <c r="J84" i="1"/>
  <c r="J85" i="1"/>
  <c r="J86" i="1"/>
  <c r="J87" i="1"/>
  <c r="J89" i="1"/>
  <c r="J90" i="1"/>
  <c r="J91" i="1"/>
  <c r="J92" i="1"/>
  <c r="J93" i="1"/>
  <c r="J94" i="1"/>
  <c r="J95" i="1"/>
  <c r="J79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E56" i="1"/>
  <c r="F56" i="1"/>
  <c r="G56" i="1"/>
  <c r="H56" i="1"/>
  <c r="I56" i="1"/>
  <c r="J56" i="1"/>
  <c r="K56" i="1"/>
  <c r="L56" i="1"/>
  <c r="E57" i="1"/>
  <c r="F57" i="1"/>
  <c r="G57" i="1"/>
  <c r="H57" i="1"/>
  <c r="I57" i="1"/>
  <c r="J57" i="1"/>
  <c r="K57" i="1"/>
  <c r="L57" i="1"/>
  <c r="E58" i="1"/>
  <c r="F58" i="1"/>
  <c r="G58" i="1"/>
  <c r="H58" i="1"/>
  <c r="I58" i="1"/>
  <c r="J58" i="1"/>
  <c r="K58" i="1"/>
  <c r="L58" i="1"/>
  <c r="E59" i="1"/>
  <c r="F59" i="1"/>
  <c r="G59" i="1"/>
  <c r="H59" i="1"/>
  <c r="I59" i="1"/>
  <c r="J59" i="1"/>
  <c r="K59" i="1"/>
  <c r="L59" i="1"/>
  <c r="E60" i="1"/>
  <c r="F60" i="1"/>
  <c r="G60" i="1"/>
  <c r="H60" i="1"/>
  <c r="I60" i="1"/>
  <c r="J60" i="1"/>
  <c r="K60" i="1"/>
  <c r="L60" i="1"/>
  <c r="E61" i="1"/>
  <c r="F61" i="1"/>
  <c r="G61" i="1"/>
  <c r="H61" i="1"/>
  <c r="I61" i="1"/>
  <c r="J61" i="1"/>
  <c r="K61" i="1"/>
  <c r="L61" i="1"/>
  <c r="E62" i="1"/>
  <c r="F62" i="1"/>
  <c r="G62" i="1"/>
  <c r="H62" i="1"/>
  <c r="I62" i="1"/>
  <c r="J62" i="1"/>
  <c r="K62" i="1"/>
  <c r="L62" i="1"/>
  <c r="E63" i="1"/>
  <c r="F63" i="1"/>
  <c r="G63" i="1"/>
  <c r="H63" i="1"/>
  <c r="I63" i="1"/>
  <c r="J63" i="1"/>
  <c r="K63" i="1"/>
  <c r="L63" i="1"/>
  <c r="E64" i="1"/>
  <c r="F64" i="1"/>
  <c r="G64" i="1"/>
  <c r="H64" i="1"/>
  <c r="I64" i="1"/>
  <c r="J64" i="1"/>
  <c r="K64" i="1"/>
  <c r="L64" i="1"/>
  <c r="E65" i="1"/>
  <c r="F65" i="1"/>
  <c r="G65" i="1"/>
  <c r="H65" i="1"/>
  <c r="I65" i="1"/>
  <c r="J65" i="1"/>
  <c r="K65" i="1"/>
  <c r="L65" i="1"/>
  <c r="E66" i="1"/>
  <c r="F66" i="1"/>
  <c r="G66" i="1"/>
  <c r="H66" i="1"/>
  <c r="I66" i="1"/>
  <c r="J66" i="1"/>
  <c r="K66" i="1"/>
  <c r="L66" i="1"/>
  <c r="E67" i="1"/>
  <c r="F67" i="1"/>
  <c r="G67" i="1"/>
  <c r="H67" i="1"/>
  <c r="I67" i="1"/>
  <c r="J67" i="1"/>
  <c r="K67" i="1"/>
  <c r="L67" i="1"/>
  <c r="E68" i="1"/>
  <c r="F68" i="1"/>
  <c r="G68" i="1"/>
  <c r="H68" i="1"/>
  <c r="I68" i="1"/>
  <c r="J68" i="1"/>
  <c r="K68" i="1"/>
  <c r="L68" i="1"/>
  <c r="E69" i="1"/>
  <c r="F69" i="1"/>
  <c r="G69" i="1"/>
  <c r="H69" i="1"/>
  <c r="I69" i="1"/>
  <c r="J69" i="1"/>
  <c r="K69" i="1"/>
  <c r="L69" i="1"/>
  <c r="E70" i="1"/>
  <c r="F70" i="1"/>
  <c r="G70" i="1"/>
  <c r="H70" i="1"/>
  <c r="I70" i="1"/>
  <c r="J70" i="1"/>
  <c r="K70" i="1"/>
  <c r="L70" i="1"/>
  <c r="E71" i="1"/>
  <c r="F71" i="1"/>
  <c r="G71" i="1"/>
  <c r="H71" i="1"/>
  <c r="I71" i="1"/>
  <c r="J71" i="1"/>
  <c r="K71" i="1"/>
  <c r="L71" i="1"/>
  <c r="E55" i="1"/>
  <c r="F55" i="1"/>
  <c r="G55" i="1"/>
  <c r="H55" i="1"/>
  <c r="I55" i="1"/>
  <c r="K55" i="1"/>
  <c r="L55" i="1"/>
  <c r="J55" i="1"/>
  <c r="H32" i="1"/>
  <c r="H34" i="1"/>
  <c r="H36" i="1"/>
  <c r="H38" i="1"/>
  <c r="H40" i="1"/>
  <c r="H42" i="1"/>
  <c r="H44" i="1"/>
  <c r="H46" i="1"/>
  <c r="H31" i="1"/>
  <c r="E32" i="1"/>
  <c r="F32" i="1"/>
  <c r="G32" i="1"/>
  <c r="I32" i="1"/>
  <c r="J32" i="1"/>
  <c r="F33" i="1"/>
  <c r="I33" i="1"/>
  <c r="J33" i="1"/>
  <c r="K33" i="1"/>
  <c r="F34" i="1"/>
  <c r="G34" i="1"/>
  <c r="I34" i="1"/>
  <c r="J34" i="1"/>
  <c r="F35" i="1"/>
  <c r="I35" i="1"/>
  <c r="J35" i="1"/>
  <c r="K35" i="1"/>
  <c r="E36" i="1"/>
  <c r="F36" i="1"/>
  <c r="G36" i="1"/>
  <c r="I36" i="1"/>
  <c r="J36" i="1"/>
  <c r="F37" i="1"/>
  <c r="I37" i="1"/>
  <c r="J37" i="1"/>
  <c r="K37" i="1"/>
  <c r="F38" i="1"/>
  <c r="G38" i="1"/>
  <c r="I38" i="1"/>
  <c r="J38" i="1"/>
  <c r="F39" i="1"/>
  <c r="I39" i="1"/>
  <c r="J39" i="1"/>
  <c r="K39" i="1"/>
  <c r="E40" i="1"/>
  <c r="G40" i="1"/>
  <c r="I40" i="1"/>
  <c r="J40" i="1"/>
  <c r="F41" i="1"/>
  <c r="I41" i="1"/>
  <c r="J41" i="1"/>
  <c r="K41" i="1"/>
  <c r="F42" i="1"/>
  <c r="G42" i="1"/>
  <c r="I42" i="1"/>
  <c r="J42" i="1"/>
  <c r="F43" i="1"/>
  <c r="I43" i="1"/>
  <c r="J43" i="1"/>
  <c r="K43" i="1"/>
  <c r="E44" i="1"/>
  <c r="F44" i="1"/>
  <c r="G44" i="1"/>
  <c r="I44" i="1"/>
  <c r="J44" i="1"/>
  <c r="F45" i="1"/>
  <c r="I45" i="1"/>
  <c r="J45" i="1"/>
  <c r="K45" i="1"/>
  <c r="F46" i="1"/>
  <c r="G46" i="1"/>
  <c r="I46" i="1"/>
  <c r="J46" i="1"/>
  <c r="F47" i="1"/>
  <c r="I47" i="1"/>
  <c r="J47" i="1"/>
  <c r="K47" i="1"/>
  <c r="F31" i="1"/>
  <c r="G31" i="1"/>
  <c r="I31" i="1"/>
  <c r="K31" i="1"/>
  <c r="L31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J31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U8" i="1" l="1"/>
  <c r="E96" i="3" s="1"/>
  <c r="Q8" i="1"/>
  <c r="E40" i="3" s="1"/>
  <c r="U7" i="1"/>
  <c r="O7" i="1"/>
  <c r="E11" i="3" s="1"/>
  <c r="Q7" i="1"/>
  <c r="E39" i="3" s="1"/>
  <c r="O8" i="1"/>
  <c r="E12" i="3" s="1"/>
  <c r="T8" i="1"/>
  <c r="P8" i="1"/>
  <c r="E26" i="3" s="1"/>
  <c r="T7" i="1"/>
  <c r="E81" i="3" s="1"/>
  <c r="P7" i="1"/>
  <c r="E25" i="3" s="1"/>
  <c r="W8" i="1"/>
  <c r="E124" i="3" s="1"/>
  <c r="S8" i="1"/>
  <c r="E68" i="3" s="1"/>
  <c r="W7" i="1"/>
  <c r="E123" i="3" s="1"/>
  <c r="S7" i="1"/>
  <c r="E67" i="3" s="1"/>
  <c r="V8" i="1"/>
  <c r="E110" i="3" s="1"/>
  <c r="R8" i="1"/>
  <c r="E54" i="3" s="1"/>
  <c r="V7" i="1"/>
  <c r="E109" i="3" s="1"/>
  <c r="E53" i="3"/>
  <c r="E95" i="3"/>
  <c r="E82" i="3"/>
  <c r="M190" i="1"/>
  <c r="M118" i="1" s="1"/>
  <c r="M142" i="1" s="1"/>
  <c r="X190" i="1" s="1"/>
  <c r="M19" i="1"/>
  <c r="M43" i="1" s="1"/>
  <c r="X91" i="1" s="1"/>
  <c r="AI91" i="1" s="1"/>
  <c r="M23" i="1"/>
  <c r="M47" i="1" s="1"/>
  <c r="X95" i="1" s="1"/>
  <c r="M15" i="1"/>
  <c r="M39" i="1" s="1"/>
  <c r="X87" i="1" s="1"/>
  <c r="AI87" i="1" s="1"/>
  <c r="M11" i="1"/>
  <c r="M35" i="1" s="1"/>
  <c r="X83" i="1" s="1"/>
  <c r="AI95" i="1"/>
  <c r="AI83" i="1"/>
  <c r="AI94" i="1"/>
  <c r="AI86" i="1"/>
  <c r="O106" i="1"/>
  <c r="L137" i="1"/>
  <c r="L133" i="1"/>
  <c r="L139" i="1"/>
  <c r="I142" i="1"/>
  <c r="T190" i="1" s="1"/>
  <c r="F137" i="1"/>
  <c r="Q185" i="1" s="1"/>
  <c r="F146" i="1"/>
  <c r="Q194" i="1" s="1"/>
  <c r="H132" i="1"/>
  <c r="S180" i="1" s="1"/>
  <c r="L147" i="1"/>
  <c r="L145" i="1"/>
  <c r="L144" i="1"/>
  <c r="L136" i="1"/>
  <c r="G133" i="1"/>
  <c r="R181" i="1" s="1"/>
  <c r="J145" i="1"/>
  <c r="U193" i="1" s="1"/>
  <c r="L135" i="1"/>
  <c r="J138" i="1"/>
  <c r="U186" i="1" s="1"/>
  <c r="T186" i="1"/>
  <c r="L117" i="1"/>
  <c r="Q182" i="1"/>
  <c r="U194" i="1"/>
  <c r="L110" i="1"/>
  <c r="L134" i="1" s="1"/>
  <c r="L118" i="1"/>
  <c r="L142" i="1" s="1"/>
  <c r="I138" i="1"/>
  <c r="T194" i="1"/>
  <c r="L122" i="1"/>
  <c r="T182" i="1"/>
  <c r="U185" i="1"/>
  <c r="P186" i="1"/>
  <c r="P189" i="1"/>
  <c r="U189" i="1"/>
  <c r="Q190" i="1"/>
  <c r="T193" i="1"/>
  <c r="P194" i="1"/>
  <c r="L114" i="1"/>
  <c r="L138" i="1" s="1"/>
  <c r="I135" i="1"/>
  <c r="T183" i="1" s="1"/>
  <c r="E131" i="1"/>
  <c r="P179" i="1" s="1"/>
  <c r="V185" i="1"/>
  <c r="T191" i="1"/>
  <c r="T179" i="1"/>
  <c r="R185" i="1"/>
  <c r="R189" i="1"/>
  <c r="Q193" i="1"/>
  <c r="V189" i="1"/>
  <c r="T187" i="1"/>
  <c r="V181" i="1"/>
  <c r="R193" i="1"/>
  <c r="V193" i="1"/>
  <c r="T195" i="1"/>
  <c r="P187" i="1"/>
  <c r="P191" i="1"/>
  <c r="P195" i="1"/>
  <c r="K108" i="1"/>
  <c r="G108" i="1"/>
  <c r="J108" i="1"/>
  <c r="F108" i="1"/>
  <c r="I108" i="1"/>
  <c r="E108" i="1"/>
  <c r="L108" i="1"/>
  <c r="K116" i="1"/>
  <c r="G116" i="1"/>
  <c r="J116" i="1"/>
  <c r="F116" i="1"/>
  <c r="I116" i="1"/>
  <c r="E116" i="1"/>
  <c r="L116" i="1"/>
  <c r="H116" i="1"/>
  <c r="K112" i="1"/>
  <c r="G112" i="1"/>
  <c r="J112" i="1"/>
  <c r="F112" i="1"/>
  <c r="I112" i="1"/>
  <c r="E112" i="1"/>
  <c r="K120" i="1"/>
  <c r="G120" i="1"/>
  <c r="J120" i="1"/>
  <c r="F120" i="1"/>
  <c r="I120" i="1"/>
  <c r="E120" i="1"/>
  <c r="H112" i="1"/>
  <c r="H120" i="1"/>
  <c r="F107" i="1"/>
  <c r="J107" i="1"/>
  <c r="H109" i="1"/>
  <c r="G110" i="1"/>
  <c r="K110" i="1"/>
  <c r="F111" i="1"/>
  <c r="J111" i="1"/>
  <c r="H113" i="1"/>
  <c r="G114" i="1"/>
  <c r="K114" i="1"/>
  <c r="F115" i="1"/>
  <c r="J115" i="1"/>
  <c r="H117" i="1"/>
  <c r="G118" i="1"/>
  <c r="K118" i="1"/>
  <c r="F119" i="1"/>
  <c r="J119" i="1"/>
  <c r="H121" i="1"/>
  <c r="G122" i="1"/>
  <c r="K122" i="1"/>
  <c r="F123" i="1"/>
  <c r="J123" i="1"/>
  <c r="G107" i="1"/>
  <c r="K107" i="1"/>
  <c r="H110" i="1"/>
  <c r="G111" i="1"/>
  <c r="K111" i="1"/>
  <c r="H114" i="1"/>
  <c r="G115" i="1"/>
  <c r="K115" i="1"/>
  <c r="H118" i="1"/>
  <c r="G119" i="1"/>
  <c r="K119" i="1"/>
  <c r="H122" i="1"/>
  <c r="G123" i="1"/>
  <c r="K123" i="1"/>
  <c r="H107" i="1"/>
  <c r="H111" i="1"/>
  <c r="H115" i="1"/>
  <c r="H119" i="1"/>
  <c r="H123" i="1"/>
  <c r="P107" i="1" l="1"/>
  <c r="E19" i="3" s="1"/>
  <c r="T107" i="1"/>
  <c r="E75" i="3" s="1"/>
  <c r="P108" i="1"/>
  <c r="T108" i="1"/>
  <c r="O108" i="1"/>
  <c r="E6" i="3" s="1"/>
  <c r="W107" i="1"/>
  <c r="E117" i="3" s="1"/>
  <c r="Q107" i="1"/>
  <c r="E33" i="3" s="1"/>
  <c r="U107" i="1"/>
  <c r="E89" i="3" s="1"/>
  <c r="Q108" i="1"/>
  <c r="U108" i="1"/>
  <c r="E90" i="3" s="1"/>
  <c r="O107" i="1"/>
  <c r="E5" i="3" s="1"/>
  <c r="S108" i="1"/>
  <c r="E62" i="3" s="1"/>
  <c r="R107" i="1"/>
  <c r="E47" i="3" s="1"/>
  <c r="V107" i="1"/>
  <c r="E103" i="3" s="1"/>
  <c r="R108" i="1"/>
  <c r="E48" i="3" s="1"/>
  <c r="V108" i="1"/>
  <c r="E104" i="3" s="1"/>
  <c r="S107" i="1"/>
  <c r="E61" i="3" s="1"/>
  <c r="W108" i="1"/>
  <c r="E118" i="3" s="1"/>
  <c r="E20" i="3"/>
  <c r="E76" i="3"/>
  <c r="E34" i="3"/>
  <c r="H147" i="1"/>
  <c r="S195" i="1" s="1"/>
  <c r="V191" i="1"/>
  <c r="K143" i="1"/>
  <c r="G139" i="1"/>
  <c r="R187" i="1" s="1"/>
  <c r="S182" i="1"/>
  <c r="H134" i="1"/>
  <c r="F147" i="1"/>
  <c r="J143" i="1"/>
  <c r="U191" i="1" s="1"/>
  <c r="H141" i="1"/>
  <c r="S189" i="1" s="1"/>
  <c r="G138" i="1"/>
  <c r="R186" i="1" s="1"/>
  <c r="K134" i="1"/>
  <c r="V182" i="1" s="1"/>
  <c r="I144" i="1"/>
  <c r="T192" i="1" s="1"/>
  <c r="K144" i="1"/>
  <c r="V192" i="1" s="1"/>
  <c r="J136" i="1"/>
  <c r="U184" i="1" s="1"/>
  <c r="L140" i="1"/>
  <c r="J140" i="1"/>
  <c r="U188" i="1" s="1"/>
  <c r="E132" i="1"/>
  <c r="P180" i="1" s="1"/>
  <c r="G132" i="1"/>
  <c r="R180" i="1" s="1"/>
  <c r="L146" i="1"/>
  <c r="H143" i="1"/>
  <c r="S191" i="1" s="1"/>
  <c r="K147" i="1"/>
  <c r="G143" i="1"/>
  <c r="R191" i="1" s="1"/>
  <c r="S186" i="1"/>
  <c r="H138" i="1"/>
  <c r="K146" i="1"/>
  <c r="V194" i="1" s="1"/>
  <c r="Q191" i="1"/>
  <c r="F143" i="1"/>
  <c r="J139" i="1"/>
  <c r="U187" i="1" s="1"/>
  <c r="S185" i="1"/>
  <c r="H137" i="1"/>
  <c r="G134" i="1"/>
  <c r="R182" i="1" s="1"/>
  <c r="S192" i="1"/>
  <c r="H144" i="1"/>
  <c r="F144" i="1"/>
  <c r="Q192" i="1" s="1"/>
  <c r="P184" i="1"/>
  <c r="E136" i="1"/>
  <c r="G136" i="1"/>
  <c r="R184" i="1" s="1"/>
  <c r="P188" i="1"/>
  <c r="E140" i="1"/>
  <c r="G140" i="1"/>
  <c r="R188" i="1" s="1"/>
  <c r="T180" i="1"/>
  <c r="I132" i="1"/>
  <c r="K132" i="1"/>
  <c r="V180" i="1" s="1"/>
  <c r="S187" i="1"/>
  <c r="H139" i="1"/>
  <c r="G147" i="1"/>
  <c r="R195" i="1" s="1"/>
  <c r="S190" i="1"/>
  <c r="H142" i="1"/>
  <c r="K135" i="1"/>
  <c r="V183" i="1" s="1"/>
  <c r="R194" i="1"/>
  <c r="G146" i="1"/>
  <c r="K142" i="1"/>
  <c r="V190" i="1" s="1"/>
  <c r="Q187" i="1"/>
  <c r="F139" i="1"/>
  <c r="J135" i="1"/>
  <c r="U183" i="1" s="1"/>
  <c r="S181" i="1"/>
  <c r="H133" i="1"/>
  <c r="H136" i="1"/>
  <c r="S184" i="1" s="1"/>
  <c r="U192" i="1"/>
  <c r="J144" i="1"/>
  <c r="I136" i="1"/>
  <c r="T184" i="1" s="1"/>
  <c r="V184" i="1"/>
  <c r="K136" i="1"/>
  <c r="I140" i="1"/>
  <c r="T188" i="1" s="1"/>
  <c r="V188" i="1"/>
  <c r="K140" i="1"/>
  <c r="F132" i="1"/>
  <c r="Q180" i="1" s="1"/>
  <c r="S183" i="1"/>
  <c r="H135" i="1"/>
  <c r="H146" i="1"/>
  <c r="S194" i="1" s="1"/>
  <c r="V187" i="1"/>
  <c r="K139" i="1"/>
  <c r="G135" i="1"/>
  <c r="R183" i="1" s="1"/>
  <c r="J147" i="1"/>
  <c r="U195" i="1" s="1"/>
  <c r="S193" i="1"/>
  <c r="H145" i="1"/>
  <c r="G142" i="1"/>
  <c r="R190" i="1" s="1"/>
  <c r="V186" i="1"/>
  <c r="K138" i="1"/>
  <c r="F135" i="1"/>
  <c r="Q183" i="1" s="1"/>
  <c r="P192" i="1"/>
  <c r="E144" i="1"/>
  <c r="G144" i="1"/>
  <c r="R192" i="1" s="1"/>
  <c r="Q184" i="1"/>
  <c r="F136" i="1"/>
  <c r="H140" i="1"/>
  <c r="S188" i="1" s="1"/>
  <c r="Q188" i="1"/>
  <c r="F140" i="1"/>
  <c r="L132" i="1"/>
  <c r="U180" i="1"/>
  <c r="J132" i="1"/>
  <c r="L141" i="1"/>
  <c r="G131" i="1"/>
  <c r="R179" i="1" s="1"/>
  <c r="J131" i="1"/>
  <c r="U179" i="1" s="1"/>
  <c r="V179" i="1"/>
  <c r="K131" i="1"/>
  <c r="H131" i="1"/>
  <c r="S179" i="1" s="1"/>
  <c r="Q179" i="1"/>
  <c r="F131" i="1"/>
  <c r="V195" i="1" l="1"/>
  <c r="Q195" i="1"/>
</calcChain>
</file>

<file path=xl/sharedStrings.xml><?xml version="1.0" encoding="utf-8"?>
<sst xmlns="http://schemas.openxmlformats.org/spreadsheetml/2006/main" count="133" uniqueCount="32">
  <si>
    <t>x</t>
  </si>
  <si>
    <t>y</t>
  </si>
  <si>
    <t>grid size</t>
  </si>
  <si>
    <t>Calculate x for 4 items horizontal</t>
  </si>
  <si>
    <t>Calculate y for above</t>
  </si>
  <si>
    <t>Calculate itemSpacing y</t>
  </si>
  <si>
    <t>itemSpacing</t>
  </si>
  <si>
    <t>&lt;aspectRatio name="16:9"&gt;</t>
  </si>
  <si>
    <t>&lt;/aspectRatio&gt;</t>
  </si>
  <si>
    <t>&lt;aspectRatio name="16:10"&gt;</t>
  </si>
  <si>
    <t>&lt;aspectRatio name="19.5:9"&gt;</t>
  </si>
  <si>
    <t>&lt;aspectRatio name="21:9"&gt;</t>
  </si>
  <si>
    <t>&lt;aspectRatio name="4:3"&gt;</t>
  </si>
  <si>
    <t>&lt;aspectRatio name="5:4"&gt;</t>
  </si>
  <si>
    <t>&lt;aspectRatio name="1:1"&gt;</t>
  </si>
  <si>
    <t>&lt;aspectRatio name="3:2"&gt;</t>
  </si>
  <si>
    <t xml:space="preserve"> </t>
  </si>
  <si>
    <t>&lt;theme&gt;</t>
  </si>
  <si>
    <t>&lt;/theme&gt;</t>
  </si>
  <si>
    <t>Number of items wide</t>
  </si>
  <si>
    <t>Number of items heigh</t>
  </si>
  <si>
    <t>Number of items displayed</t>
  </si>
  <si>
    <t>&lt;aspectRatio name="8:7"&gt;</t>
  </si>
  <si>
    <t>Catppuccin - grid coversize</t>
  </si>
  <si>
    <t>Catpuccin - grid coversize</t>
  </si>
  <si>
    <t>fontSize name</t>
  </si>
  <si>
    <t>medium</t>
  </si>
  <si>
    <t>&lt;/fontSize&gt;</t>
  </si>
  <si>
    <t>&lt;variables&gt;</t>
  </si>
  <si>
    <t>&lt;/variables&gt;</t>
  </si>
  <si>
    <t>large</t>
  </si>
  <si>
    <t>752-1440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</si>
</sst>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49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4</xdr:row>
          <xdr:rowOff>57150</xdr:rowOff>
        </xdr:from>
        <xdr:to>
          <xdr:col>13</xdr:col>
          <xdr:colOff>142875</xdr:colOff>
          <xdr:row>7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5B92-0D38-4737-BB46-F19A3DC82FA6}">
  <sheetPr codeName="Sheet1"/>
  <dimension ref="A1:AI195"/>
  <sheetViews>
    <sheetView topLeftCell="E93" workbookViewId="0">
      <selection activeCell="O107" sqref="O107:W108"/>
    </sheetView>
  </sheetViews>
  <sheetFormatPr defaultRowHeight="15" x14ac:dyDescent="0.25"/>
  <sheetData>
    <row r="1" spans="1:33" ht="26.25" x14ac:dyDescent="0.25">
      <c r="E1" s="1" t="s">
        <v>23</v>
      </c>
      <c r="F1" s="2"/>
      <c r="G1" s="2"/>
      <c r="H1" s="2"/>
      <c r="I1" s="2"/>
      <c r="J1" s="2" t="s">
        <v>6</v>
      </c>
      <c r="K1">
        <v>0.01</v>
      </c>
      <c r="N1" s="2" t="s">
        <v>2</v>
      </c>
      <c r="O1" s="2" t="s">
        <v>0</v>
      </c>
      <c r="P1">
        <v>0.7</v>
      </c>
    </row>
    <row r="2" spans="1:33" x14ac:dyDescent="0.25">
      <c r="E2" s="1" t="s">
        <v>3</v>
      </c>
      <c r="F2" s="2"/>
      <c r="G2" s="2"/>
      <c r="H2" s="2"/>
      <c r="I2" s="2"/>
      <c r="J2" s="2"/>
      <c r="N2" s="2"/>
      <c r="O2" s="2" t="s">
        <v>1</v>
      </c>
      <c r="P2">
        <v>0.67500000000000004</v>
      </c>
    </row>
    <row r="3" spans="1:33" x14ac:dyDescent="0.25">
      <c r="E3" s="3">
        <v>1</v>
      </c>
      <c r="F3" s="3">
        <v>5</v>
      </c>
      <c r="G3" s="3">
        <v>4</v>
      </c>
      <c r="H3" s="3">
        <v>3</v>
      </c>
      <c r="I3" s="3">
        <v>16</v>
      </c>
      <c r="J3" s="3">
        <v>16</v>
      </c>
      <c r="K3" s="3">
        <v>19.5</v>
      </c>
      <c r="L3" s="3">
        <v>21</v>
      </c>
      <c r="M3" s="3">
        <v>8</v>
      </c>
      <c r="O3" s="3">
        <v>1</v>
      </c>
      <c r="P3" s="3">
        <v>5</v>
      </c>
      <c r="Q3" s="3">
        <v>4</v>
      </c>
      <c r="R3" s="3">
        <v>3</v>
      </c>
      <c r="S3" s="3">
        <v>16</v>
      </c>
      <c r="T3" s="3">
        <v>16</v>
      </c>
      <c r="U3" s="3">
        <v>19.5</v>
      </c>
      <c r="V3" s="3">
        <v>21</v>
      </c>
      <c r="W3" s="3">
        <v>8</v>
      </c>
      <c r="AG3" s="5" t="str">
        <f t="shared" ref="AG3:AG19" si="0">B7&amp;"-"&amp;C7</f>
        <v>1-1</v>
      </c>
    </row>
    <row r="4" spans="1:33" x14ac:dyDescent="0.25">
      <c r="E4" s="3">
        <v>1</v>
      </c>
      <c r="F4" s="3">
        <v>4</v>
      </c>
      <c r="G4" s="3">
        <v>3</v>
      </c>
      <c r="H4" s="3">
        <v>2</v>
      </c>
      <c r="I4" s="3">
        <v>10</v>
      </c>
      <c r="J4" s="3">
        <v>9</v>
      </c>
      <c r="K4" s="3">
        <v>9</v>
      </c>
      <c r="L4" s="3">
        <v>9</v>
      </c>
      <c r="M4" s="3">
        <v>7</v>
      </c>
      <c r="O4" s="3">
        <v>1</v>
      </c>
      <c r="P4" s="3">
        <v>4</v>
      </c>
      <c r="Q4" s="3">
        <v>3</v>
      </c>
      <c r="R4" s="3">
        <v>2</v>
      </c>
      <c r="S4" s="3">
        <v>10</v>
      </c>
      <c r="T4" s="3">
        <v>9</v>
      </c>
      <c r="U4" s="3">
        <v>9</v>
      </c>
      <c r="V4" s="3">
        <v>9</v>
      </c>
      <c r="W4" s="3">
        <v>7</v>
      </c>
      <c r="AG4" s="5" t="str">
        <f t="shared" si="0"/>
        <v>1-2</v>
      </c>
    </row>
    <row r="5" spans="1:33" x14ac:dyDescent="0.25">
      <c r="D5" s="3" t="s">
        <v>0</v>
      </c>
      <c r="E5" s="3">
        <v>720</v>
      </c>
      <c r="F5" s="3">
        <v>900</v>
      </c>
      <c r="G5" s="3">
        <v>960</v>
      </c>
      <c r="H5" s="3">
        <v>1080</v>
      </c>
      <c r="I5" s="3">
        <v>1152</v>
      </c>
      <c r="J5" s="3">
        <v>1280</v>
      </c>
      <c r="K5" s="3">
        <v>1560</v>
      </c>
      <c r="L5" s="3">
        <v>1680</v>
      </c>
      <c r="M5">
        <v>1240</v>
      </c>
      <c r="AG5" s="5" t="str">
        <f t="shared" si="0"/>
        <v>2-3</v>
      </c>
    </row>
    <row r="6" spans="1:33" x14ac:dyDescent="0.25">
      <c r="B6" s="2" t="s">
        <v>0</v>
      </c>
      <c r="C6" s="2" t="s">
        <v>1</v>
      </c>
      <c r="D6" s="3" t="s">
        <v>1</v>
      </c>
      <c r="E6" s="3">
        <v>720</v>
      </c>
      <c r="F6" s="3">
        <v>720</v>
      </c>
      <c r="G6" s="3">
        <v>720</v>
      </c>
      <c r="H6" s="3">
        <v>720</v>
      </c>
      <c r="I6" s="3">
        <v>720</v>
      </c>
      <c r="J6" s="3">
        <v>720</v>
      </c>
      <c r="K6" s="3">
        <v>720</v>
      </c>
      <c r="L6" s="3">
        <v>720</v>
      </c>
      <c r="M6" s="3">
        <v>1080</v>
      </c>
      <c r="O6" t="str">
        <f>xml!dropdownList</f>
        <v>752-1440</v>
      </c>
      <c r="P6" t="s">
        <v>16</v>
      </c>
      <c r="AG6" s="5" t="str">
        <f t="shared" si="0"/>
        <v>3-4</v>
      </c>
    </row>
    <row r="7" spans="1:33" x14ac:dyDescent="0.25">
      <c r="A7">
        <f>B7/C7</f>
        <v>1</v>
      </c>
      <c r="B7" s="3">
        <v>1</v>
      </c>
      <c r="C7" s="3">
        <v>1</v>
      </c>
      <c r="E7">
        <f>(0.7-((E79-1)*$K$1))/(E79)</f>
        <v>0.22666666666666666</v>
      </c>
      <c r="F7">
        <f t="shared" ref="F7:K7" si="1">(0.7-((F79-1)*$K$1))/(F79)</f>
        <v>0.16749999999999998</v>
      </c>
      <c r="G7">
        <f t="shared" si="1"/>
        <v>0.16749999999999998</v>
      </c>
      <c r="H7">
        <f t="shared" si="1"/>
        <v>0.16749999999999998</v>
      </c>
      <c r="I7">
        <f t="shared" si="1"/>
        <v>0.16749999999999998</v>
      </c>
      <c r="J7">
        <f t="shared" si="1"/>
        <v>0.16749999999999998</v>
      </c>
      <c r="K7">
        <f t="shared" si="1"/>
        <v>0.16749999999999998</v>
      </c>
      <c r="L7">
        <f>(0.7-((L79-1)*$K$1))/(L79)</f>
        <v>0.13199999999999998</v>
      </c>
      <c r="M7">
        <f>(0.7-((M79-1)*$K$1))/(M79)</f>
        <v>0.22666666666666666</v>
      </c>
      <c r="O7" t="str">
        <f ca="1">"&lt;gridItemSize&gt;"&amp;ROUNDDOWN((OFFSET(E$7,(MATCH($O$6,$AG$3:$AG$19,0)-1),0)),5)&amp;" "&amp;ROUNDDOWN((OFFSET(E$31,(MATCH($O$6,$AG$3:$AG$19,0)-1),0)),5)&amp;"&lt;/gridItemSize&gt;"</f>
        <v>&lt;gridItemSize&gt;0.1675 0.32074&lt;/gridItemSize&gt;</v>
      </c>
      <c r="P7" t="str">
        <f t="shared" ref="P7:W7" ca="1" si="2">"&lt;gridItemSize&gt;"&amp;ROUNDDOWN((OFFSET(F$7,(MATCH($O$6,$AG$3:$AG$19,0)-1),0)),5)&amp;" "&amp;ROUNDDOWN((OFFSET(F$31,(MATCH($O$6,$AG$3:$AG$19,0)-1),0)),5)&amp;"&lt;/gridItemSize&gt;"</f>
        <v>&lt;gridItemSize&gt;0.132 0.31595&lt;/gridItemSize&gt;</v>
      </c>
      <c r="Q7" t="str">
        <f t="shared" ca="1" si="2"/>
        <v>&lt;gridItemSize&gt;0.132 0.33702&lt;/gridItemSize&gt;</v>
      </c>
      <c r="R7" t="str">
        <f t="shared" ca="1" si="2"/>
        <v>&lt;gridItemSize&gt;0.132 0.37914&lt;/gridItemSize&gt;</v>
      </c>
      <c r="S7" t="str">
        <f t="shared" ca="1" si="2"/>
        <v>&lt;gridItemSize&gt;0.132 0.40442&lt;/gridItemSize&gt;</v>
      </c>
      <c r="T7" t="str">
        <f t="shared" ca="1" si="2"/>
        <v>&lt;gridItemSize&gt;0.132 0.44936&lt;/gridItemSize&gt;</v>
      </c>
      <c r="U7" t="str">
        <f t="shared" ca="1" si="2"/>
        <v>&lt;gridItemSize&gt;0.132 0.54765&lt;/gridItemSize&gt;</v>
      </c>
      <c r="V7" t="str">
        <f t="shared" ca="1" si="2"/>
        <v>&lt;gridItemSize&gt;0.10833 0.48404&lt;/gridItemSize&gt;</v>
      </c>
      <c r="W7" t="str">
        <f t="shared" ca="1" si="2"/>
        <v>&lt;gridItemSize&gt;0.1675 0.36826&lt;/gridItemSize&gt;</v>
      </c>
      <c r="AG7" s="5" t="str">
        <f t="shared" si="0"/>
        <v>3-5</v>
      </c>
    </row>
    <row r="8" spans="1:33" x14ac:dyDescent="0.25">
      <c r="A8">
        <f t="shared" ref="A8:A23" si="3">B8/C8</f>
        <v>0.5</v>
      </c>
      <c r="B8" s="3">
        <v>1</v>
      </c>
      <c r="C8" s="3">
        <v>2</v>
      </c>
      <c r="E8">
        <f t="shared" ref="E8:M8" si="4">(0.7-((E80-1)*$K$1))/(E80)</f>
        <v>0.16749999999999998</v>
      </c>
      <c r="F8">
        <f t="shared" si="4"/>
        <v>0.13199999999999998</v>
      </c>
      <c r="G8">
        <f t="shared" si="4"/>
        <v>0.13199999999999998</v>
      </c>
      <c r="H8">
        <f t="shared" si="4"/>
        <v>0.13199999999999998</v>
      </c>
      <c r="I8">
        <f t="shared" si="4"/>
        <v>0.13199999999999998</v>
      </c>
      <c r="J8">
        <f t="shared" si="4"/>
        <v>0.13199999999999998</v>
      </c>
      <c r="K8">
        <f t="shared" si="4"/>
        <v>0.13199999999999998</v>
      </c>
      <c r="L8">
        <f t="shared" si="4"/>
        <v>0.10833333333333332</v>
      </c>
      <c r="M8">
        <f t="shared" si="4"/>
        <v>0.16749999999999998</v>
      </c>
      <c r="O8" t="str">
        <f ca="1">"&lt;gridItemSpacing&gt;"&amp;$K$1&amp;" "&amp;ROUNDDOWN((OFFSET(E$55,(MATCH($O$6,$AG$3:$AG$19,0)-1),0)),5)&amp;"&lt;/gridItemSpacing&gt;"</f>
        <v>&lt;gridItemSpacing&gt;0.01 0.01&lt;/gridItemSpacing&gt;</v>
      </c>
      <c r="P8" t="str">
        <f t="shared" ref="P8:W8" ca="1" si="5">"&lt;gridItemSpacing&gt;"&amp;$K$1&amp;" "&amp;ROUNDDOWN((OFFSET(F$55,(MATCH($O$6,$AG$3:$AG$19,0)-1),0)),5)&amp;"&lt;/gridItemSpacing&gt;"</f>
        <v>&lt;gridItemSpacing&gt;0.01 0.0125&lt;/gridItemSpacing&gt;</v>
      </c>
      <c r="Q8" t="str">
        <f t="shared" ca="1" si="5"/>
        <v>&lt;gridItemSpacing&gt;0.01 0.01333&lt;/gridItemSpacing&gt;</v>
      </c>
      <c r="R8" t="str">
        <f t="shared" ca="1" si="5"/>
        <v>&lt;gridItemSpacing&gt;0.01 0.015&lt;/gridItemSpacing&gt;</v>
      </c>
      <c r="S8" t="str">
        <f t="shared" ca="1" si="5"/>
        <v>&lt;gridItemSpacing&gt;0.01 0.016&lt;/gridItemSpacing&gt;</v>
      </c>
      <c r="T8" t="str">
        <f t="shared" ca="1" si="5"/>
        <v>&lt;gridItemSpacing&gt;0.01 0.01777&lt;/gridItemSpacing&gt;</v>
      </c>
      <c r="U8" t="str">
        <f t="shared" ca="1" si="5"/>
        <v>&lt;gridItemSpacing&gt;0.01 0.02166&lt;/gridItemSpacing&gt;</v>
      </c>
      <c r="V8" t="str">
        <f t="shared" ca="1" si="5"/>
        <v>&lt;gridItemSpacing&gt;0.01 0.02333&lt;/gridItemSpacing&gt;</v>
      </c>
      <c r="W8" t="str">
        <f t="shared" ca="1" si="5"/>
        <v>&lt;gridItemSpacing&gt;0.01 0.01148&lt;/gridItemSpacing&gt;</v>
      </c>
      <c r="AG8" s="5" t="str">
        <f t="shared" si="0"/>
        <v>4-3</v>
      </c>
    </row>
    <row r="9" spans="1:33" x14ac:dyDescent="0.25">
      <c r="A9">
        <f t="shared" si="3"/>
        <v>0.66666666666666663</v>
      </c>
      <c r="B9" s="3">
        <v>2</v>
      </c>
      <c r="C9" s="3">
        <v>3</v>
      </c>
      <c r="E9">
        <f t="shared" ref="E9:M9" si="6">(0.7-((E81-1)*$K$1))/(E81)</f>
        <v>0.22666666666666666</v>
      </c>
      <c r="F9">
        <f t="shared" si="6"/>
        <v>0.16749999999999998</v>
      </c>
      <c r="G9">
        <f t="shared" si="6"/>
        <v>0.16749999999999998</v>
      </c>
      <c r="H9">
        <f t="shared" si="6"/>
        <v>0.16749999999999998</v>
      </c>
      <c r="I9">
        <f t="shared" si="6"/>
        <v>0.16749999999999998</v>
      </c>
      <c r="J9">
        <f t="shared" si="6"/>
        <v>0.16749999999999998</v>
      </c>
      <c r="K9">
        <f t="shared" si="6"/>
        <v>0.16749999999999998</v>
      </c>
      <c r="L9">
        <f t="shared" si="6"/>
        <v>0.13199999999999998</v>
      </c>
      <c r="M9">
        <f t="shared" si="6"/>
        <v>0.22666666666666666</v>
      </c>
      <c r="AG9" s="5" t="str">
        <f t="shared" si="0"/>
        <v>5-7</v>
      </c>
    </row>
    <row r="10" spans="1:33" x14ac:dyDescent="0.25">
      <c r="A10">
        <f t="shared" si="3"/>
        <v>0.75</v>
      </c>
      <c r="B10" s="3">
        <v>3</v>
      </c>
      <c r="C10" s="3">
        <v>4</v>
      </c>
      <c r="E10">
        <f t="shared" ref="E10:M10" si="7">(0.7-((E82-1)*$K$1))/(E82)</f>
        <v>0.22666666666666666</v>
      </c>
      <c r="F10">
        <f t="shared" si="7"/>
        <v>0.16749999999999998</v>
      </c>
      <c r="G10">
        <f t="shared" si="7"/>
        <v>0.16749999999999998</v>
      </c>
      <c r="H10">
        <f t="shared" si="7"/>
        <v>0.16749999999999998</v>
      </c>
      <c r="I10">
        <f t="shared" si="7"/>
        <v>0.16749999999999998</v>
      </c>
      <c r="J10">
        <f t="shared" si="7"/>
        <v>0.16749999999999998</v>
      </c>
      <c r="K10">
        <f t="shared" si="7"/>
        <v>0.16749999999999998</v>
      </c>
      <c r="L10">
        <f t="shared" si="7"/>
        <v>0.13199999999999998</v>
      </c>
      <c r="M10">
        <f t="shared" si="7"/>
        <v>0.22666666666666666</v>
      </c>
      <c r="AG10" s="5" t="str">
        <f t="shared" si="0"/>
        <v>99-168</v>
      </c>
    </row>
    <row r="11" spans="1:33" x14ac:dyDescent="0.25">
      <c r="A11">
        <f t="shared" si="3"/>
        <v>0.6</v>
      </c>
      <c r="B11" s="3">
        <v>3</v>
      </c>
      <c r="C11" s="3">
        <v>5</v>
      </c>
      <c r="E11">
        <f t="shared" ref="E11:M11" si="8">(0.7-((E83-1)*$K$1))/(E83)</f>
        <v>0.16749999999999998</v>
      </c>
      <c r="F11">
        <f t="shared" si="8"/>
        <v>0.13199999999999998</v>
      </c>
      <c r="G11">
        <f t="shared" si="8"/>
        <v>0.13199999999999998</v>
      </c>
      <c r="H11">
        <f t="shared" si="8"/>
        <v>0.13199999999999998</v>
      </c>
      <c r="I11">
        <f t="shared" si="8"/>
        <v>0.13199999999999998</v>
      </c>
      <c r="J11">
        <f t="shared" si="8"/>
        <v>0.13199999999999998</v>
      </c>
      <c r="K11">
        <f t="shared" si="8"/>
        <v>0.13199999999999998</v>
      </c>
      <c r="L11">
        <f t="shared" si="8"/>
        <v>0.10833333333333332</v>
      </c>
      <c r="M11">
        <f t="shared" si="8"/>
        <v>0.16749999999999998</v>
      </c>
      <c r="O11" s="4"/>
      <c r="P11" s="4"/>
      <c r="Q11" s="4"/>
      <c r="R11" s="4"/>
      <c r="S11" s="4"/>
      <c r="T11" s="4"/>
      <c r="U11" s="4"/>
      <c r="V11" s="4"/>
      <c r="AG11" s="5" t="str">
        <f t="shared" si="0"/>
        <v>105-170</v>
      </c>
    </row>
    <row r="12" spans="1:33" x14ac:dyDescent="0.25">
      <c r="A12">
        <f t="shared" si="3"/>
        <v>1.3333333333333333</v>
      </c>
      <c r="B12" s="3">
        <v>4</v>
      </c>
      <c r="C12" s="3">
        <v>3</v>
      </c>
      <c r="E12">
        <f t="shared" ref="E12:M12" si="9">(0.7-((E84-1)*$K$1))/(E84)</f>
        <v>0.34499999999999997</v>
      </c>
      <c r="F12">
        <f t="shared" si="9"/>
        <v>0.22666666666666666</v>
      </c>
      <c r="G12">
        <f t="shared" si="9"/>
        <v>0.22666666666666666</v>
      </c>
      <c r="H12">
        <f t="shared" si="9"/>
        <v>0.22666666666666666</v>
      </c>
      <c r="I12">
        <f t="shared" si="9"/>
        <v>0.22666666666666666</v>
      </c>
      <c r="J12">
        <f t="shared" si="9"/>
        <v>0.22666666666666666</v>
      </c>
      <c r="K12">
        <f t="shared" si="9"/>
        <v>0.22666666666666666</v>
      </c>
      <c r="L12">
        <f t="shared" si="9"/>
        <v>0.16749999999999998</v>
      </c>
      <c r="M12">
        <f t="shared" si="9"/>
        <v>0.34499999999999997</v>
      </c>
      <c r="AG12" s="5" t="str">
        <f t="shared" si="0"/>
        <v>112-67</v>
      </c>
    </row>
    <row r="13" spans="1:33" x14ac:dyDescent="0.25">
      <c r="A13">
        <f t="shared" si="3"/>
        <v>0.7142857142857143</v>
      </c>
      <c r="B13" s="3">
        <v>5</v>
      </c>
      <c r="C13" s="3">
        <v>7</v>
      </c>
      <c r="E13">
        <f t="shared" ref="E13:M13" si="10">(0.7-((E85-1)*$K$1))/(E85)</f>
        <v>0.22666666666666666</v>
      </c>
      <c r="F13">
        <f t="shared" si="10"/>
        <v>0.16749999999999998</v>
      </c>
      <c r="G13">
        <f t="shared" si="10"/>
        <v>0.16749999999999998</v>
      </c>
      <c r="H13">
        <f t="shared" si="10"/>
        <v>0.16749999999999998</v>
      </c>
      <c r="I13">
        <f t="shared" si="10"/>
        <v>0.16749999999999998</v>
      </c>
      <c r="J13">
        <f t="shared" si="10"/>
        <v>0.16749999999999998</v>
      </c>
      <c r="K13">
        <f t="shared" si="10"/>
        <v>0.16749999999999998</v>
      </c>
      <c r="L13">
        <f t="shared" si="10"/>
        <v>0.13199999999999998</v>
      </c>
      <c r="M13">
        <f t="shared" si="10"/>
        <v>0.22666666666666666</v>
      </c>
      <c r="AG13" s="5" t="str">
        <f t="shared" si="0"/>
        <v>135-172</v>
      </c>
    </row>
    <row r="14" spans="1:33" x14ac:dyDescent="0.25">
      <c r="A14">
        <f t="shared" si="3"/>
        <v>0.5892857142857143</v>
      </c>
      <c r="B14" s="3">
        <v>99</v>
      </c>
      <c r="C14" s="3">
        <v>168</v>
      </c>
      <c r="E14">
        <f t="shared" ref="E14:M14" si="11">(0.7-((E86-1)*$K$1))/(E86)</f>
        <v>0.16749999999999998</v>
      </c>
      <c r="F14">
        <f t="shared" si="11"/>
        <v>0.13199999999999998</v>
      </c>
      <c r="G14">
        <f t="shared" si="11"/>
        <v>0.13199999999999998</v>
      </c>
      <c r="H14">
        <f t="shared" si="11"/>
        <v>0.13199999999999998</v>
      </c>
      <c r="I14">
        <f t="shared" si="11"/>
        <v>0.13199999999999998</v>
      </c>
      <c r="J14">
        <f t="shared" si="11"/>
        <v>0.13199999999999998</v>
      </c>
      <c r="K14">
        <f t="shared" si="11"/>
        <v>0.13199999999999998</v>
      </c>
      <c r="L14">
        <f t="shared" si="11"/>
        <v>0.10833333333333332</v>
      </c>
      <c r="M14">
        <f t="shared" si="11"/>
        <v>0.16749999999999998</v>
      </c>
      <c r="AG14" s="5" t="str">
        <f t="shared" si="0"/>
        <v>143-207</v>
      </c>
    </row>
    <row r="15" spans="1:33" x14ac:dyDescent="0.25">
      <c r="A15">
        <f t="shared" si="3"/>
        <v>0.61764705882352944</v>
      </c>
      <c r="B15" s="3">
        <v>105</v>
      </c>
      <c r="C15" s="3">
        <v>170</v>
      </c>
      <c r="E15">
        <f t="shared" ref="E15:M15" si="12">(0.7-((E87-1)*$K$1))/(E87)</f>
        <v>0.16749999999999998</v>
      </c>
      <c r="F15">
        <f t="shared" si="12"/>
        <v>0.13199999999999998</v>
      </c>
      <c r="G15">
        <f t="shared" si="12"/>
        <v>0.13199999999999998</v>
      </c>
      <c r="H15">
        <f t="shared" si="12"/>
        <v>0.13199999999999998</v>
      </c>
      <c r="I15">
        <f t="shared" si="12"/>
        <v>0.13199999999999998</v>
      </c>
      <c r="J15">
        <f t="shared" si="12"/>
        <v>0.13199999999999998</v>
      </c>
      <c r="K15">
        <f t="shared" si="12"/>
        <v>0.13199999999999998</v>
      </c>
      <c r="L15">
        <f t="shared" si="12"/>
        <v>0.10833333333333332</v>
      </c>
      <c r="M15">
        <f t="shared" si="12"/>
        <v>0.16749999999999998</v>
      </c>
      <c r="AG15" s="5" t="str">
        <f t="shared" si="0"/>
        <v>145-205</v>
      </c>
    </row>
    <row r="16" spans="1:33" x14ac:dyDescent="0.25">
      <c r="A16">
        <f t="shared" si="3"/>
        <v>1.6716417910447761</v>
      </c>
      <c r="B16" s="3">
        <v>112</v>
      </c>
      <c r="C16" s="3">
        <v>67</v>
      </c>
      <c r="E16">
        <f t="shared" ref="E16:M16" si="13">(0.7-((E88-1)*$K$1))/(E88)</f>
        <v>0.34499999999999997</v>
      </c>
      <c r="F16">
        <f t="shared" si="13"/>
        <v>0.22666666666666666</v>
      </c>
      <c r="G16">
        <f t="shared" si="13"/>
        <v>0.22666666666666666</v>
      </c>
      <c r="H16">
        <f t="shared" si="13"/>
        <v>0.22666666666666666</v>
      </c>
      <c r="I16">
        <f t="shared" si="13"/>
        <v>0.22666666666666666</v>
      </c>
      <c r="J16">
        <f t="shared" si="13"/>
        <v>0.22666666666666666</v>
      </c>
      <c r="K16">
        <f t="shared" si="13"/>
        <v>0.22666666666666666</v>
      </c>
      <c r="L16">
        <f t="shared" si="13"/>
        <v>0.16749999999999998</v>
      </c>
      <c r="M16">
        <f t="shared" si="13"/>
        <v>0.34499999999999997</v>
      </c>
      <c r="AG16" s="5" t="str">
        <f t="shared" si="0"/>
        <v>243-340</v>
      </c>
    </row>
    <row r="17" spans="1:33" x14ac:dyDescent="0.25">
      <c r="A17">
        <f t="shared" si="3"/>
        <v>0.78488372093023251</v>
      </c>
      <c r="B17" s="3">
        <v>135</v>
      </c>
      <c r="C17" s="3">
        <v>172</v>
      </c>
      <c r="E17">
        <f t="shared" ref="E17:M17" si="14">(0.7-((E89-1)*$K$1))/(E89)</f>
        <v>0.22666666666666666</v>
      </c>
      <c r="F17">
        <f t="shared" si="14"/>
        <v>0.16749999999999998</v>
      </c>
      <c r="G17">
        <f t="shared" si="14"/>
        <v>0.16749999999999998</v>
      </c>
      <c r="H17">
        <f t="shared" si="14"/>
        <v>0.16749999999999998</v>
      </c>
      <c r="I17">
        <f t="shared" si="14"/>
        <v>0.16749999999999998</v>
      </c>
      <c r="J17">
        <f t="shared" si="14"/>
        <v>0.16749999999999998</v>
      </c>
      <c r="K17">
        <f t="shared" si="14"/>
        <v>0.16749999999999998</v>
      </c>
      <c r="L17">
        <f t="shared" si="14"/>
        <v>0.13199999999999998</v>
      </c>
      <c r="M17">
        <f t="shared" si="14"/>
        <v>0.22666666666666666</v>
      </c>
      <c r="AG17" s="5" t="str">
        <f t="shared" si="0"/>
        <v>257-229</v>
      </c>
    </row>
    <row r="18" spans="1:33" x14ac:dyDescent="0.25">
      <c r="A18">
        <f t="shared" si="3"/>
        <v>0.6908212560386473</v>
      </c>
      <c r="B18" s="3">
        <v>143</v>
      </c>
      <c r="C18" s="3">
        <v>207</v>
      </c>
      <c r="E18">
        <f t="shared" ref="E18:M18" si="15">(0.7-((E90-1)*$K$1))/(E90)</f>
        <v>0.22666666666666666</v>
      </c>
      <c r="F18">
        <f t="shared" si="15"/>
        <v>0.16749999999999998</v>
      </c>
      <c r="G18">
        <f t="shared" si="15"/>
        <v>0.16749999999999998</v>
      </c>
      <c r="H18">
        <f t="shared" si="15"/>
        <v>0.16749999999999998</v>
      </c>
      <c r="I18">
        <f t="shared" si="15"/>
        <v>0.16749999999999998</v>
      </c>
      <c r="J18">
        <f t="shared" si="15"/>
        <v>0.16749999999999998</v>
      </c>
      <c r="K18">
        <f t="shared" si="15"/>
        <v>0.16749999999999998</v>
      </c>
      <c r="L18">
        <f t="shared" si="15"/>
        <v>0.13199999999999998</v>
      </c>
      <c r="M18">
        <f t="shared" si="15"/>
        <v>0.22666666666666666</v>
      </c>
      <c r="AG18" s="5" t="str">
        <f t="shared" si="0"/>
        <v>373-436</v>
      </c>
    </row>
    <row r="19" spans="1:33" x14ac:dyDescent="0.25">
      <c r="A19">
        <f t="shared" si="3"/>
        <v>0.70731707317073167</v>
      </c>
      <c r="B19" s="3">
        <v>145</v>
      </c>
      <c r="C19" s="3">
        <v>205</v>
      </c>
      <c r="E19">
        <f t="shared" ref="E19:M19" si="16">(0.7-((E91-1)*$K$1))/(E91)</f>
        <v>0.22666666666666666</v>
      </c>
      <c r="F19">
        <f t="shared" si="16"/>
        <v>0.16749999999999998</v>
      </c>
      <c r="G19">
        <f t="shared" si="16"/>
        <v>0.16749999999999998</v>
      </c>
      <c r="H19">
        <f t="shared" si="16"/>
        <v>0.16749999999999998</v>
      </c>
      <c r="I19">
        <f t="shared" si="16"/>
        <v>0.16749999999999998</v>
      </c>
      <c r="J19">
        <f t="shared" si="16"/>
        <v>0.16749999999999998</v>
      </c>
      <c r="K19">
        <f t="shared" si="16"/>
        <v>0.16749999999999998</v>
      </c>
      <c r="L19">
        <f t="shared" si="16"/>
        <v>0.13199999999999998</v>
      </c>
      <c r="M19">
        <f t="shared" si="16"/>
        <v>0.22666666666666666</v>
      </c>
      <c r="AG19" s="5" t="str">
        <f t="shared" si="0"/>
        <v>752-1440</v>
      </c>
    </row>
    <row r="20" spans="1:33" x14ac:dyDescent="0.25">
      <c r="A20">
        <f t="shared" si="3"/>
        <v>0.71470588235294119</v>
      </c>
      <c r="B20" s="3">
        <v>243</v>
      </c>
      <c r="C20" s="3">
        <v>340</v>
      </c>
      <c r="E20">
        <f t="shared" ref="E20:M20" si="17">(0.7-((E92-1)*$K$1))/(E92)</f>
        <v>0.22666666666666666</v>
      </c>
      <c r="F20">
        <f t="shared" si="17"/>
        <v>0.16749999999999998</v>
      </c>
      <c r="G20">
        <f t="shared" si="17"/>
        <v>0.16749999999999998</v>
      </c>
      <c r="H20">
        <f t="shared" si="17"/>
        <v>0.16749999999999998</v>
      </c>
      <c r="I20">
        <f t="shared" si="17"/>
        <v>0.16749999999999998</v>
      </c>
      <c r="J20">
        <f t="shared" si="17"/>
        <v>0.16749999999999998</v>
      </c>
      <c r="K20">
        <f t="shared" si="17"/>
        <v>0.16749999999999998</v>
      </c>
      <c r="L20">
        <f t="shared" si="17"/>
        <v>0.13199999999999998</v>
      </c>
      <c r="M20">
        <f t="shared" si="17"/>
        <v>0.22666666666666666</v>
      </c>
    </row>
    <row r="21" spans="1:33" x14ac:dyDescent="0.25">
      <c r="A21">
        <f t="shared" si="3"/>
        <v>1.1222707423580787</v>
      </c>
      <c r="B21" s="3">
        <v>257</v>
      </c>
      <c r="C21" s="3">
        <v>229</v>
      </c>
      <c r="E21">
        <f t="shared" ref="E21:M21" si="18">(0.7-((E93-1)*$K$1))/(E93)</f>
        <v>0.34499999999999997</v>
      </c>
      <c r="F21">
        <f t="shared" si="18"/>
        <v>0.22666666666666666</v>
      </c>
      <c r="G21">
        <f t="shared" si="18"/>
        <v>0.22666666666666666</v>
      </c>
      <c r="H21">
        <f t="shared" si="18"/>
        <v>0.22666666666666666</v>
      </c>
      <c r="I21">
        <f t="shared" si="18"/>
        <v>0.22666666666666666</v>
      </c>
      <c r="J21">
        <f t="shared" si="18"/>
        <v>0.22666666666666666</v>
      </c>
      <c r="K21">
        <f t="shared" si="18"/>
        <v>0.22666666666666666</v>
      </c>
      <c r="L21">
        <f t="shared" si="18"/>
        <v>0.16749999999999998</v>
      </c>
      <c r="M21">
        <f t="shared" si="18"/>
        <v>0.34499999999999997</v>
      </c>
    </row>
    <row r="22" spans="1:33" x14ac:dyDescent="0.25">
      <c r="A22">
        <f t="shared" si="3"/>
        <v>0.85550458715596334</v>
      </c>
      <c r="B22" s="3">
        <v>373</v>
      </c>
      <c r="C22" s="3">
        <v>436</v>
      </c>
      <c r="E22">
        <f t="shared" ref="E22:M22" si="19">(0.7-((E94-1)*$K$1))/(E94)</f>
        <v>0.22666666666666666</v>
      </c>
      <c r="F22">
        <f t="shared" si="19"/>
        <v>0.16749999999999998</v>
      </c>
      <c r="G22">
        <f t="shared" si="19"/>
        <v>0.16749999999999998</v>
      </c>
      <c r="H22">
        <f t="shared" si="19"/>
        <v>0.16749999999999998</v>
      </c>
      <c r="I22">
        <f t="shared" si="19"/>
        <v>0.16749999999999998</v>
      </c>
      <c r="J22">
        <f t="shared" si="19"/>
        <v>0.16749999999999998</v>
      </c>
      <c r="K22">
        <f t="shared" si="19"/>
        <v>0.16749999999999998</v>
      </c>
      <c r="L22">
        <f t="shared" si="19"/>
        <v>0.13199999999999998</v>
      </c>
      <c r="M22">
        <f t="shared" si="19"/>
        <v>0.22666666666666666</v>
      </c>
    </row>
    <row r="23" spans="1:33" x14ac:dyDescent="0.25">
      <c r="A23">
        <f t="shared" si="3"/>
        <v>0.52222222222222225</v>
      </c>
      <c r="B23" s="3">
        <v>752</v>
      </c>
      <c r="C23" s="3">
        <v>1440</v>
      </c>
      <c r="E23">
        <f t="shared" ref="E23:M23" si="20">(0.7-((E95-1)*$K$1))/(E95)</f>
        <v>0.16749999999999998</v>
      </c>
      <c r="F23">
        <f t="shared" si="20"/>
        <v>0.13199999999999998</v>
      </c>
      <c r="G23">
        <f t="shared" si="20"/>
        <v>0.13199999999999998</v>
      </c>
      <c r="H23">
        <f t="shared" si="20"/>
        <v>0.13199999999999998</v>
      </c>
      <c r="I23">
        <f t="shared" si="20"/>
        <v>0.13199999999999998</v>
      </c>
      <c r="J23">
        <f t="shared" si="20"/>
        <v>0.13199999999999998</v>
      </c>
      <c r="K23">
        <f t="shared" si="20"/>
        <v>0.13199999999999998</v>
      </c>
      <c r="L23">
        <f t="shared" si="20"/>
        <v>0.10833333333333332</v>
      </c>
      <c r="M23">
        <f t="shared" si="20"/>
        <v>0.16749999999999998</v>
      </c>
    </row>
    <row r="26" spans="1:33" x14ac:dyDescent="0.25">
      <c r="E26" s="1" t="s">
        <v>4</v>
      </c>
    </row>
    <row r="27" spans="1:33" x14ac:dyDescent="0.25">
      <c r="E27" s="3">
        <v>1</v>
      </c>
      <c r="F27" s="3">
        <v>5</v>
      </c>
      <c r="G27" s="3">
        <v>4</v>
      </c>
      <c r="H27" s="3">
        <v>3</v>
      </c>
      <c r="I27" s="3">
        <v>16</v>
      </c>
      <c r="J27" s="3">
        <v>16</v>
      </c>
      <c r="K27" s="3">
        <v>19.5</v>
      </c>
      <c r="L27" s="3">
        <v>21</v>
      </c>
      <c r="M27" s="3">
        <v>8</v>
      </c>
      <c r="P27" s="3"/>
      <c r="Q27" s="3"/>
      <c r="R27" s="3"/>
      <c r="S27" s="3"/>
      <c r="T27" s="3"/>
      <c r="U27" s="3"/>
      <c r="V27" s="3"/>
      <c r="W27" s="3"/>
    </row>
    <row r="28" spans="1:33" x14ac:dyDescent="0.25">
      <c r="E28" s="3">
        <v>1</v>
      </c>
      <c r="F28" s="3">
        <v>4</v>
      </c>
      <c r="G28" s="3">
        <v>3</v>
      </c>
      <c r="H28" s="3">
        <v>2</v>
      </c>
      <c r="I28" s="3">
        <v>10</v>
      </c>
      <c r="J28" s="3">
        <v>9</v>
      </c>
      <c r="K28" s="3">
        <v>9</v>
      </c>
      <c r="L28" s="3">
        <v>9</v>
      </c>
      <c r="M28" s="3">
        <v>7</v>
      </c>
      <c r="P28" s="3"/>
      <c r="Q28" s="3"/>
      <c r="R28" s="3"/>
      <c r="S28" s="3"/>
      <c r="T28" s="3"/>
      <c r="U28" s="3"/>
      <c r="V28" s="3"/>
      <c r="W28" s="3"/>
    </row>
    <row r="29" spans="1:33" x14ac:dyDescent="0.25">
      <c r="D29" s="3" t="s">
        <v>0</v>
      </c>
      <c r="E29" s="3">
        <v>720</v>
      </c>
      <c r="F29" s="3">
        <v>900</v>
      </c>
      <c r="G29" s="3">
        <v>960</v>
      </c>
      <c r="H29" s="3">
        <v>1080</v>
      </c>
      <c r="I29" s="3">
        <v>1152</v>
      </c>
      <c r="J29" s="3">
        <v>1280</v>
      </c>
      <c r="K29" s="3">
        <v>1560</v>
      </c>
      <c r="L29" s="3">
        <v>1680</v>
      </c>
      <c r="M29">
        <v>1240</v>
      </c>
    </row>
    <row r="30" spans="1:33" x14ac:dyDescent="0.25">
      <c r="B30" s="2" t="s">
        <v>0</v>
      </c>
      <c r="C30" s="2" t="s">
        <v>1</v>
      </c>
      <c r="D30" s="3" t="s">
        <v>1</v>
      </c>
      <c r="E30" s="3">
        <v>720</v>
      </c>
      <c r="F30" s="3">
        <v>720</v>
      </c>
      <c r="G30" s="3">
        <v>720</v>
      </c>
      <c r="H30" s="3">
        <v>720</v>
      </c>
      <c r="I30" s="3">
        <v>720</v>
      </c>
      <c r="J30" s="3">
        <v>720</v>
      </c>
      <c r="K30" s="3">
        <v>720</v>
      </c>
      <c r="L30" s="3">
        <v>720</v>
      </c>
      <c r="M30" s="3">
        <v>1080</v>
      </c>
    </row>
    <row r="31" spans="1:33" x14ac:dyDescent="0.25">
      <c r="A31">
        <f>B31/C31</f>
        <v>1</v>
      </c>
      <c r="B31" s="3">
        <v>1</v>
      </c>
      <c r="C31" s="3">
        <v>1</v>
      </c>
      <c r="E31">
        <f t="shared" ref="E31:I31" si="21">(E7*E$29*($C31/$B31))/E$30</f>
        <v>0.22666666666666666</v>
      </c>
      <c r="F31">
        <f t="shared" si="21"/>
        <v>0.20937499999999995</v>
      </c>
      <c r="G31">
        <f t="shared" si="21"/>
        <v>0.2233333333333333</v>
      </c>
      <c r="H31">
        <f t="shared" si="21"/>
        <v>0.25124999999999997</v>
      </c>
      <c r="I31">
        <f t="shared" si="21"/>
        <v>0.26799999999999996</v>
      </c>
      <c r="J31">
        <f>(J7*J$29*($C31/$B31))/J$30</f>
        <v>0.29777777777777775</v>
      </c>
      <c r="K31">
        <f t="shared" ref="K31:M31" si="22">(K7*K$29*($C31/$B31))/K$30</f>
        <v>0.36291666666666661</v>
      </c>
      <c r="L31">
        <f t="shared" si="22"/>
        <v>0.30799999999999994</v>
      </c>
      <c r="M31">
        <f t="shared" si="22"/>
        <v>0.26024691358024693</v>
      </c>
    </row>
    <row r="32" spans="1:33" x14ac:dyDescent="0.25">
      <c r="A32">
        <f t="shared" ref="A32:A47" si="23">B32/C32</f>
        <v>0.5</v>
      </c>
      <c r="B32" s="3">
        <v>1</v>
      </c>
      <c r="C32" s="3">
        <v>2</v>
      </c>
      <c r="E32">
        <f t="shared" ref="E32:M32" si="24">(E8*E$29*($C32/$B32))/E$30</f>
        <v>0.33499999999999996</v>
      </c>
      <c r="F32">
        <f t="shared" si="24"/>
        <v>0.32999999999999996</v>
      </c>
      <c r="G32">
        <f t="shared" si="24"/>
        <v>0.35199999999999998</v>
      </c>
      <c r="H32">
        <f t="shared" si="24"/>
        <v>0.39599999999999991</v>
      </c>
      <c r="I32">
        <f t="shared" si="24"/>
        <v>0.42239999999999989</v>
      </c>
      <c r="J32">
        <f t="shared" si="24"/>
        <v>0.46933333333333327</v>
      </c>
      <c r="K32">
        <f t="shared" si="24"/>
        <v>0.57199999999999984</v>
      </c>
      <c r="L32">
        <f t="shared" si="24"/>
        <v>0.50555555555555542</v>
      </c>
      <c r="M32">
        <f t="shared" si="24"/>
        <v>0.3846296296296296</v>
      </c>
    </row>
    <row r="33" spans="1:13" x14ac:dyDescent="0.25">
      <c r="A33">
        <f t="shared" si="23"/>
        <v>0.66666666666666663</v>
      </c>
      <c r="B33" s="3">
        <v>2</v>
      </c>
      <c r="C33" s="3">
        <v>3</v>
      </c>
      <c r="E33">
        <f t="shared" ref="E33:M33" si="25">(E9*E$29*($C33/$B33))/E$30</f>
        <v>0.33999999999999997</v>
      </c>
      <c r="F33">
        <f t="shared" si="25"/>
        <v>0.31406249999999991</v>
      </c>
      <c r="G33">
        <f t="shared" si="25"/>
        <v>0.33499999999999996</v>
      </c>
      <c r="H33">
        <f t="shared" si="25"/>
        <v>0.37687499999999996</v>
      </c>
      <c r="I33">
        <f t="shared" si="25"/>
        <v>0.40199999999999991</v>
      </c>
      <c r="J33">
        <f t="shared" si="25"/>
        <v>0.4466666666666666</v>
      </c>
      <c r="K33">
        <f t="shared" si="25"/>
        <v>0.54437499999999994</v>
      </c>
      <c r="L33">
        <f t="shared" si="25"/>
        <v>0.46199999999999991</v>
      </c>
      <c r="M33">
        <f t="shared" si="25"/>
        <v>0.39037037037037037</v>
      </c>
    </row>
    <row r="34" spans="1:13" x14ac:dyDescent="0.25">
      <c r="A34">
        <f t="shared" si="23"/>
        <v>0.75</v>
      </c>
      <c r="B34" s="3">
        <v>3</v>
      </c>
      <c r="C34" s="3">
        <v>4</v>
      </c>
      <c r="E34">
        <f t="shared" ref="E34:M34" si="26">(E10*E$29*($C34/$B34))/E$30</f>
        <v>0.30222222222222217</v>
      </c>
      <c r="F34">
        <f t="shared" si="26"/>
        <v>0.27916666666666656</v>
      </c>
      <c r="G34">
        <f t="shared" si="26"/>
        <v>0.29777777777777775</v>
      </c>
      <c r="H34">
        <f t="shared" si="26"/>
        <v>0.33499999999999996</v>
      </c>
      <c r="I34">
        <f t="shared" si="26"/>
        <v>0.35733333333333328</v>
      </c>
      <c r="J34">
        <f t="shared" si="26"/>
        <v>0.39703703703703697</v>
      </c>
      <c r="K34">
        <f t="shared" si="26"/>
        <v>0.48388888888888876</v>
      </c>
      <c r="L34">
        <f t="shared" si="26"/>
        <v>0.41066666666666662</v>
      </c>
      <c r="M34">
        <f t="shared" si="26"/>
        <v>0.34699588477366256</v>
      </c>
    </row>
    <row r="35" spans="1:13" x14ac:dyDescent="0.25">
      <c r="A35">
        <f t="shared" si="23"/>
        <v>0.6</v>
      </c>
      <c r="B35" s="3">
        <v>3</v>
      </c>
      <c r="C35" s="3">
        <v>5</v>
      </c>
      <c r="E35">
        <f t="shared" ref="E35:M35" si="27">(E11*E$29*($C35/$B35))/E$30</f>
        <v>0.27916666666666667</v>
      </c>
      <c r="F35">
        <f t="shared" si="27"/>
        <v>0.27499999999999997</v>
      </c>
      <c r="G35">
        <f t="shared" si="27"/>
        <v>0.29333333333333333</v>
      </c>
      <c r="H35">
        <f t="shared" si="27"/>
        <v>0.32999999999999996</v>
      </c>
      <c r="I35">
        <f t="shared" si="27"/>
        <v>0.35199999999999992</v>
      </c>
      <c r="J35">
        <f t="shared" si="27"/>
        <v>0.39111111111111108</v>
      </c>
      <c r="K35">
        <f t="shared" si="27"/>
        <v>0.47666666666666657</v>
      </c>
      <c r="L35">
        <f t="shared" si="27"/>
        <v>0.42129629629629628</v>
      </c>
      <c r="M35">
        <f t="shared" si="27"/>
        <v>0.32052469135802469</v>
      </c>
    </row>
    <row r="36" spans="1:13" x14ac:dyDescent="0.25">
      <c r="A36">
        <f t="shared" si="23"/>
        <v>1.3333333333333333</v>
      </c>
      <c r="B36" s="3">
        <v>4</v>
      </c>
      <c r="C36" s="3">
        <v>3</v>
      </c>
      <c r="E36">
        <f t="shared" ref="E36:M36" si="28">(E12*E$29*($C36/$B36))/E$30</f>
        <v>0.25874999999999998</v>
      </c>
      <c r="F36">
        <f t="shared" si="28"/>
        <v>0.21249999999999999</v>
      </c>
      <c r="G36">
        <f t="shared" si="28"/>
        <v>0.22666666666666666</v>
      </c>
      <c r="H36">
        <f t="shared" si="28"/>
        <v>0.255</v>
      </c>
      <c r="I36">
        <f t="shared" si="28"/>
        <v>0.27200000000000002</v>
      </c>
      <c r="J36">
        <f t="shared" si="28"/>
        <v>0.30222222222222223</v>
      </c>
      <c r="K36">
        <f t="shared" si="28"/>
        <v>0.36833333333333329</v>
      </c>
      <c r="L36">
        <f t="shared" si="28"/>
        <v>0.29312499999999997</v>
      </c>
      <c r="M36">
        <f t="shared" si="28"/>
        <v>0.29708333333333331</v>
      </c>
    </row>
    <row r="37" spans="1:13" x14ac:dyDescent="0.25">
      <c r="A37">
        <f t="shared" si="23"/>
        <v>0.7142857142857143</v>
      </c>
      <c r="B37" s="3">
        <v>5</v>
      </c>
      <c r="C37" s="3">
        <v>7</v>
      </c>
      <c r="E37">
        <f t="shared" ref="E37:M37" si="29">(E13*E$29*($C37/$B37))/E$30</f>
        <v>0.3173333333333333</v>
      </c>
      <c r="F37">
        <f t="shared" si="29"/>
        <v>0.29312499999999991</v>
      </c>
      <c r="G37">
        <f t="shared" si="29"/>
        <v>0.31266666666666659</v>
      </c>
      <c r="H37">
        <f t="shared" si="29"/>
        <v>0.35174999999999995</v>
      </c>
      <c r="I37">
        <f t="shared" si="29"/>
        <v>0.37519999999999992</v>
      </c>
      <c r="J37">
        <f t="shared" si="29"/>
        <v>0.41688888888888886</v>
      </c>
      <c r="K37">
        <f t="shared" si="29"/>
        <v>0.50808333333333322</v>
      </c>
      <c r="L37">
        <f t="shared" si="29"/>
        <v>0.43119999999999992</v>
      </c>
      <c r="M37">
        <f t="shared" si="29"/>
        <v>0.36434567901234566</v>
      </c>
    </row>
    <row r="38" spans="1:13" x14ac:dyDescent="0.25">
      <c r="A38">
        <f t="shared" si="23"/>
        <v>0.5892857142857143</v>
      </c>
      <c r="B38" s="3">
        <v>99</v>
      </c>
      <c r="C38" s="3">
        <v>168</v>
      </c>
      <c r="E38">
        <f t="shared" ref="E38:M38" si="30">(E14*E$29*($C38/$B38))/E$30</f>
        <v>0.28424242424242424</v>
      </c>
      <c r="F38">
        <f t="shared" si="30"/>
        <v>0.27999999999999997</v>
      </c>
      <c r="G38">
        <f t="shared" si="30"/>
        <v>0.29866666666666664</v>
      </c>
      <c r="H38">
        <f t="shared" si="30"/>
        <v>0.33599999999999997</v>
      </c>
      <c r="I38">
        <f t="shared" si="30"/>
        <v>0.35839999999999994</v>
      </c>
      <c r="J38">
        <f t="shared" si="30"/>
        <v>0.3982222222222222</v>
      </c>
      <c r="K38">
        <f t="shared" si="30"/>
        <v>0.48533333333333323</v>
      </c>
      <c r="L38">
        <f t="shared" si="30"/>
        <v>0.42895622895622892</v>
      </c>
      <c r="M38">
        <f t="shared" si="30"/>
        <v>0.32635241301907969</v>
      </c>
    </row>
    <row r="39" spans="1:13" x14ac:dyDescent="0.25">
      <c r="A39">
        <f t="shared" si="23"/>
        <v>0.61764705882352944</v>
      </c>
      <c r="B39" s="3">
        <v>105</v>
      </c>
      <c r="C39" s="3">
        <v>170</v>
      </c>
      <c r="E39">
        <f t="shared" ref="E39:M39" si="31">(E15*E$29*($C39/$B39))/E$30</f>
        <v>0.27119047619047615</v>
      </c>
      <c r="F39">
        <f t="shared" si="31"/>
        <v>0.26714285714285713</v>
      </c>
      <c r="G39">
        <f t="shared" si="31"/>
        <v>0.28495238095238096</v>
      </c>
      <c r="H39">
        <f t="shared" si="31"/>
        <v>0.32057142857142851</v>
      </c>
      <c r="I39">
        <f t="shared" si="31"/>
        <v>0.34194285714285705</v>
      </c>
      <c r="J39">
        <f t="shared" si="31"/>
        <v>0.37993650793650791</v>
      </c>
      <c r="K39">
        <f t="shared" si="31"/>
        <v>0.46304761904761899</v>
      </c>
      <c r="L39">
        <f t="shared" si="31"/>
        <v>0.40925925925925921</v>
      </c>
      <c r="M39">
        <f t="shared" si="31"/>
        <v>0.31136684303350964</v>
      </c>
    </row>
    <row r="40" spans="1:13" x14ac:dyDescent="0.25">
      <c r="A40">
        <f t="shared" si="23"/>
        <v>1.6716417910447761</v>
      </c>
      <c r="B40" s="3">
        <v>112</v>
      </c>
      <c r="C40" s="3">
        <v>67</v>
      </c>
      <c r="E40">
        <f t="shared" ref="E40:M40" si="32">(E16*E$29*($C40/$B40))/E$30</f>
        <v>0.20638392857142857</v>
      </c>
      <c r="F40">
        <f t="shared" si="32"/>
        <v>0.1694940476190476</v>
      </c>
      <c r="G40">
        <f t="shared" si="32"/>
        <v>0.18079365079365081</v>
      </c>
      <c r="H40">
        <f t="shared" si="32"/>
        <v>0.20339285714285713</v>
      </c>
      <c r="I40">
        <f t="shared" si="32"/>
        <v>0.21695238095238095</v>
      </c>
      <c r="J40">
        <f t="shared" si="32"/>
        <v>0.24105820105820103</v>
      </c>
      <c r="K40">
        <f t="shared" si="32"/>
        <v>0.29378968253968252</v>
      </c>
      <c r="L40">
        <f t="shared" si="32"/>
        <v>0.2338020833333333</v>
      </c>
      <c r="M40">
        <f t="shared" si="32"/>
        <v>0.23695932539682538</v>
      </c>
    </row>
    <row r="41" spans="1:13" x14ac:dyDescent="0.25">
      <c r="A41">
        <f t="shared" si="23"/>
        <v>0.78488372093023251</v>
      </c>
      <c r="B41" s="3">
        <v>135</v>
      </c>
      <c r="C41" s="3">
        <v>172</v>
      </c>
      <c r="E41">
        <f t="shared" ref="E41:M41" si="33">(E17*E$29*($C41/$B41))/E$30</f>
        <v>0.28879012345679012</v>
      </c>
      <c r="F41">
        <f t="shared" si="33"/>
        <v>0.2667592592592592</v>
      </c>
      <c r="G41">
        <f t="shared" si="33"/>
        <v>0.28454320987654319</v>
      </c>
      <c r="H41">
        <f t="shared" si="33"/>
        <v>0.32011111111111112</v>
      </c>
      <c r="I41">
        <f t="shared" si="33"/>
        <v>0.34145185185185184</v>
      </c>
      <c r="J41">
        <f t="shared" si="33"/>
        <v>0.37939094650205762</v>
      </c>
      <c r="K41">
        <f t="shared" si="33"/>
        <v>0.46238271604938264</v>
      </c>
      <c r="L41">
        <f t="shared" si="33"/>
        <v>0.39241481481481477</v>
      </c>
      <c r="M41">
        <f t="shared" si="33"/>
        <v>0.33157384545038865</v>
      </c>
    </row>
    <row r="42" spans="1:13" x14ac:dyDescent="0.25">
      <c r="A42">
        <f t="shared" si="23"/>
        <v>0.6908212560386473</v>
      </c>
      <c r="B42" s="3">
        <v>143</v>
      </c>
      <c r="C42" s="3">
        <v>207</v>
      </c>
      <c r="E42">
        <f t="shared" ref="E42:M42" si="34">(E18*E$29*($C42/$B42))/E$30</f>
        <v>0.32811188811188807</v>
      </c>
      <c r="F42">
        <f t="shared" si="34"/>
        <v>0.30308129370629361</v>
      </c>
      <c r="G42">
        <f t="shared" si="34"/>
        <v>0.32328671328671327</v>
      </c>
      <c r="H42">
        <f t="shared" si="34"/>
        <v>0.36369755244755242</v>
      </c>
      <c r="I42">
        <f t="shared" si="34"/>
        <v>0.3879440559440559</v>
      </c>
      <c r="J42">
        <f t="shared" si="34"/>
        <v>0.43104895104895097</v>
      </c>
      <c r="K42">
        <f t="shared" si="34"/>
        <v>0.52534090909090903</v>
      </c>
      <c r="L42">
        <f t="shared" si="34"/>
        <v>0.44584615384615378</v>
      </c>
      <c r="M42">
        <f t="shared" si="34"/>
        <v>0.37672105672105671</v>
      </c>
    </row>
    <row r="43" spans="1:13" x14ac:dyDescent="0.25">
      <c r="A43">
        <f t="shared" si="23"/>
        <v>0.70731707317073167</v>
      </c>
      <c r="B43" s="3">
        <v>145</v>
      </c>
      <c r="C43" s="3">
        <v>205</v>
      </c>
      <c r="E43">
        <f t="shared" ref="E43:M43" si="35">(E19*E$29*($C43/$B43))/E$30</f>
        <v>0.32045977011494248</v>
      </c>
      <c r="F43">
        <f t="shared" si="35"/>
        <v>0.29601293103448267</v>
      </c>
      <c r="G43">
        <f t="shared" si="35"/>
        <v>0.31574712643678154</v>
      </c>
      <c r="H43">
        <f t="shared" si="35"/>
        <v>0.35521551724137923</v>
      </c>
      <c r="I43">
        <f t="shared" si="35"/>
        <v>0.37889655172413789</v>
      </c>
      <c r="J43">
        <f t="shared" si="35"/>
        <v>0.42099616858237543</v>
      </c>
      <c r="K43">
        <f t="shared" si="35"/>
        <v>0.51308908045976998</v>
      </c>
      <c r="L43">
        <f t="shared" si="35"/>
        <v>0.43544827586206891</v>
      </c>
      <c r="M43">
        <f t="shared" si="35"/>
        <v>0.36793529161345251</v>
      </c>
    </row>
    <row r="44" spans="1:13" x14ac:dyDescent="0.25">
      <c r="A44">
        <f t="shared" si="23"/>
        <v>0.71470588235294119</v>
      </c>
      <c r="B44" s="3">
        <v>243</v>
      </c>
      <c r="C44" s="3">
        <v>340</v>
      </c>
      <c r="E44">
        <f t="shared" ref="E44:M44" si="36">(E20*E$29*($C44/$B44))/E$30</f>
        <v>0.31714677640603567</v>
      </c>
      <c r="F44">
        <f t="shared" si="36"/>
        <v>0.29295267489711929</v>
      </c>
      <c r="G44">
        <f t="shared" si="36"/>
        <v>0.31248285322359393</v>
      </c>
      <c r="H44">
        <f t="shared" si="36"/>
        <v>0.35154320987654319</v>
      </c>
      <c r="I44">
        <f t="shared" si="36"/>
        <v>0.37497942386831273</v>
      </c>
      <c r="J44">
        <f t="shared" si="36"/>
        <v>0.41664380429812531</v>
      </c>
      <c r="K44">
        <f t="shared" si="36"/>
        <v>0.50778463648834016</v>
      </c>
      <c r="L44">
        <f t="shared" si="36"/>
        <v>0.43094650205761309</v>
      </c>
      <c r="M44">
        <f t="shared" si="36"/>
        <v>0.36413148402174467</v>
      </c>
    </row>
    <row r="45" spans="1:13" x14ac:dyDescent="0.25">
      <c r="A45">
        <f t="shared" si="23"/>
        <v>1.1222707423580787</v>
      </c>
      <c r="B45" s="3">
        <v>257</v>
      </c>
      <c r="C45" s="3">
        <v>229</v>
      </c>
      <c r="E45">
        <f t="shared" ref="E45:M45" si="37">(E21*E$29*($C45/$B45))/E$30</f>
        <v>0.30741245136186768</v>
      </c>
      <c r="F45">
        <f t="shared" si="37"/>
        <v>0.25246433203631652</v>
      </c>
      <c r="G45">
        <f t="shared" si="37"/>
        <v>0.26929528750540421</v>
      </c>
      <c r="H45">
        <f t="shared" si="37"/>
        <v>0.30295719844357977</v>
      </c>
      <c r="I45">
        <f t="shared" si="37"/>
        <v>0.3231543450064851</v>
      </c>
      <c r="J45">
        <f t="shared" si="37"/>
        <v>0.35906038334053897</v>
      </c>
      <c r="K45">
        <f t="shared" si="37"/>
        <v>0.43760484219628187</v>
      </c>
      <c r="L45">
        <f t="shared" si="37"/>
        <v>0.34825226977950713</v>
      </c>
      <c r="M45">
        <f t="shared" si="37"/>
        <v>0.35295503674881107</v>
      </c>
    </row>
    <row r="46" spans="1:13" x14ac:dyDescent="0.25">
      <c r="A46">
        <f t="shared" si="23"/>
        <v>0.85550458715596334</v>
      </c>
      <c r="B46" s="3">
        <v>373</v>
      </c>
      <c r="C46" s="3">
        <v>436</v>
      </c>
      <c r="E46">
        <f t="shared" ref="E46:M46" si="38">(E22*E$29*($C46/$B46))/E$30</f>
        <v>0.26495084897229665</v>
      </c>
      <c r="F46">
        <f t="shared" si="38"/>
        <v>0.24473860589812324</v>
      </c>
      <c r="G46">
        <f t="shared" si="38"/>
        <v>0.26105451295799814</v>
      </c>
      <c r="H46">
        <f t="shared" si="38"/>
        <v>0.29368632707774794</v>
      </c>
      <c r="I46">
        <f t="shared" si="38"/>
        <v>0.3132654155495978</v>
      </c>
      <c r="J46">
        <f t="shared" si="38"/>
        <v>0.34807268394399754</v>
      </c>
      <c r="K46">
        <f t="shared" si="38"/>
        <v>0.42421358355674699</v>
      </c>
      <c r="L46">
        <f t="shared" si="38"/>
        <v>0.36002144772117955</v>
      </c>
      <c r="M46">
        <f t="shared" si="38"/>
        <v>0.30420282659782211</v>
      </c>
    </row>
    <row r="47" spans="1:13" x14ac:dyDescent="0.25">
      <c r="A47">
        <f t="shared" si="23"/>
        <v>0.52222222222222225</v>
      </c>
      <c r="B47" s="3">
        <v>752</v>
      </c>
      <c r="C47" s="3">
        <v>1440</v>
      </c>
      <c r="E47">
        <f t="shared" ref="E47:M47" si="39">(E23*E$29*($C47/$B47))/E$30</f>
        <v>0.32074468085106383</v>
      </c>
      <c r="F47">
        <f t="shared" si="39"/>
        <v>0.31595744680851062</v>
      </c>
      <c r="G47">
        <f t="shared" si="39"/>
        <v>0.33702127659574466</v>
      </c>
      <c r="H47">
        <f t="shared" si="39"/>
        <v>0.37914893617021272</v>
      </c>
      <c r="I47">
        <f t="shared" si="39"/>
        <v>0.40442553191489355</v>
      </c>
      <c r="J47">
        <f t="shared" si="39"/>
        <v>0.44936170212765958</v>
      </c>
      <c r="K47">
        <f t="shared" si="39"/>
        <v>0.547659574468085</v>
      </c>
      <c r="L47">
        <f t="shared" si="39"/>
        <v>0.48404255319148926</v>
      </c>
      <c r="M47">
        <f t="shared" si="39"/>
        <v>0.36826241134751775</v>
      </c>
    </row>
    <row r="50" spans="1:13" x14ac:dyDescent="0.25">
      <c r="E50" s="1" t="s">
        <v>5</v>
      </c>
    </row>
    <row r="51" spans="1:13" x14ac:dyDescent="0.25">
      <c r="E51" s="3">
        <v>1</v>
      </c>
      <c r="F51" s="3">
        <v>5</v>
      </c>
      <c r="G51" s="3">
        <v>4</v>
      </c>
      <c r="H51" s="3">
        <v>3</v>
      </c>
      <c r="I51" s="3">
        <v>16</v>
      </c>
      <c r="J51" s="3">
        <v>16</v>
      </c>
      <c r="K51" s="3">
        <v>19.5</v>
      </c>
      <c r="L51" s="3">
        <v>21</v>
      </c>
      <c r="M51" s="3">
        <v>8</v>
      </c>
    </row>
    <row r="52" spans="1:13" x14ac:dyDescent="0.25">
      <c r="E52" s="3">
        <v>1</v>
      </c>
      <c r="F52" s="3">
        <v>4</v>
      </c>
      <c r="G52" s="3">
        <v>3</v>
      </c>
      <c r="H52" s="3">
        <v>2</v>
      </c>
      <c r="I52" s="3">
        <v>10</v>
      </c>
      <c r="J52" s="3">
        <v>9</v>
      </c>
      <c r="K52" s="3">
        <v>9</v>
      </c>
      <c r="L52" s="3">
        <v>9</v>
      </c>
      <c r="M52" s="3">
        <v>7</v>
      </c>
    </row>
    <row r="53" spans="1:13" x14ac:dyDescent="0.25">
      <c r="D53" s="3" t="s">
        <v>0</v>
      </c>
      <c r="E53" s="3">
        <v>720</v>
      </c>
      <c r="F53" s="3">
        <v>900</v>
      </c>
      <c r="G53" s="3">
        <v>960</v>
      </c>
      <c r="H53" s="3">
        <v>1080</v>
      </c>
      <c r="I53" s="3">
        <v>1152</v>
      </c>
      <c r="J53" s="3">
        <v>1280</v>
      </c>
      <c r="K53" s="3">
        <v>1560</v>
      </c>
      <c r="L53" s="3">
        <v>1680</v>
      </c>
      <c r="M53">
        <v>1240</v>
      </c>
    </row>
    <row r="54" spans="1:13" x14ac:dyDescent="0.25">
      <c r="B54" s="2" t="s">
        <v>0</v>
      </c>
      <c r="C54" s="2" t="s">
        <v>1</v>
      </c>
      <c r="D54" s="3" t="s">
        <v>1</v>
      </c>
      <c r="E54" s="3">
        <v>720</v>
      </c>
      <c r="F54" s="3">
        <v>720</v>
      </c>
      <c r="G54" s="3">
        <v>720</v>
      </c>
      <c r="H54" s="3">
        <v>720</v>
      </c>
      <c r="I54" s="3">
        <v>720</v>
      </c>
      <c r="J54" s="3">
        <v>720</v>
      </c>
      <c r="K54" s="3">
        <v>720</v>
      </c>
      <c r="L54" s="3">
        <v>720</v>
      </c>
      <c r="M54" s="3">
        <v>1080</v>
      </c>
    </row>
    <row r="55" spans="1:13" x14ac:dyDescent="0.25">
      <c r="A55">
        <f>B55/C55</f>
        <v>1</v>
      </c>
      <c r="B55" s="3">
        <v>1</v>
      </c>
      <c r="C55" s="3">
        <v>1</v>
      </c>
      <c r="E55">
        <f t="shared" ref="E55:J70" si="40">($K$1*E$53)/E$54</f>
        <v>0.01</v>
      </c>
      <c r="F55">
        <f t="shared" si="40"/>
        <v>1.2500000000000001E-2</v>
      </c>
      <c r="G55">
        <f t="shared" si="40"/>
        <v>1.3333333333333332E-2</v>
      </c>
      <c r="H55">
        <f t="shared" si="40"/>
        <v>1.5000000000000001E-2</v>
      </c>
      <c r="I55">
        <f t="shared" si="40"/>
        <v>1.6E-2</v>
      </c>
      <c r="J55">
        <f>($K$1*J$53)/J$54</f>
        <v>1.7777777777777778E-2</v>
      </c>
      <c r="K55">
        <f t="shared" ref="K55:M70" si="41">($K$1*K$53)/K$54</f>
        <v>2.1666666666666667E-2</v>
      </c>
      <c r="L55">
        <f t="shared" si="41"/>
        <v>2.3333333333333334E-2</v>
      </c>
      <c r="M55">
        <f t="shared" si="41"/>
        <v>1.1481481481481481E-2</v>
      </c>
    </row>
    <row r="56" spans="1:13" x14ac:dyDescent="0.25">
      <c r="A56">
        <f t="shared" ref="A56:A71" si="42">B56/C56</f>
        <v>0.5</v>
      </c>
      <c r="B56" s="3">
        <v>1</v>
      </c>
      <c r="C56" s="3">
        <v>2</v>
      </c>
      <c r="E56">
        <f t="shared" si="40"/>
        <v>0.01</v>
      </c>
      <c r="F56">
        <f t="shared" si="40"/>
        <v>1.2500000000000001E-2</v>
      </c>
      <c r="G56">
        <f t="shared" si="40"/>
        <v>1.3333333333333332E-2</v>
      </c>
      <c r="H56">
        <f t="shared" si="40"/>
        <v>1.5000000000000001E-2</v>
      </c>
      <c r="I56">
        <f t="shared" si="40"/>
        <v>1.6E-2</v>
      </c>
      <c r="J56">
        <f t="shared" si="40"/>
        <v>1.7777777777777778E-2</v>
      </c>
      <c r="K56">
        <f t="shared" si="41"/>
        <v>2.1666666666666667E-2</v>
      </c>
      <c r="L56">
        <f t="shared" si="41"/>
        <v>2.3333333333333334E-2</v>
      </c>
      <c r="M56">
        <f t="shared" si="41"/>
        <v>1.1481481481481481E-2</v>
      </c>
    </row>
    <row r="57" spans="1:13" x14ac:dyDescent="0.25">
      <c r="A57">
        <f t="shared" si="42"/>
        <v>0.66666666666666663</v>
      </c>
      <c r="B57" s="3">
        <v>2</v>
      </c>
      <c r="C57" s="3">
        <v>3</v>
      </c>
      <c r="E57">
        <f t="shared" si="40"/>
        <v>0.01</v>
      </c>
      <c r="F57">
        <f t="shared" si="40"/>
        <v>1.2500000000000001E-2</v>
      </c>
      <c r="G57">
        <f t="shared" si="40"/>
        <v>1.3333333333333332E-2</v>
      </c>
      <c r="H57">
        <f t="shared" si="40"/>
        <v>1.5000000000000001E-2</v>
      </c>
      <c r="I57">
        <f t="shared" si="40"/>
        <v>1.6E-2</v>
      </c>
      <c r="J57">
        <f t="shared" si="40"/>
        <v>1.7777777777777778E-2</v>
      </c>
      <c r="K57">
        <f t="shared" si="41"/>
        <v>2.1666666666666667E-2</v>
      </c>
      <c r="L57">
        <f t="shared" si="41"/>
        <v>2.3333333333333334E-2</v>
      </c>
      <c r="M57">
        <f t="shared" si="41"/>
        <v>1.1481481481481481E-2</v>
      </c>
    </row>
    <row r="58" spans="1:13" x14ac:dyDescent="0.25">
      <c r="A58">
        <f t="shared" si="42"/>
        <v>0.75</v>
      </c>
      <c r="B58" s="3">
        <v>3</v>
      </c>
      <c r="C58" s="3">
        <v>4</v>
      </c>
      <c r="E58">
        <f t="shared" si="40"/>
        <v>0.01</v>
      </c>
      <c r="F58">
        <f t="shared" si="40"/>
        <v>1.2500000000000001E-2</v>
      </c>
      <c r="G58">
        <f t="shared" si="40"/>
        <v>1.3333333333333332E-2</v>
      </c>
      <c r="H58">
        <f t="shared" si="40"/>
        <v>1.5000000000000001E-2</v>
      </c>
      <c r="I58">
        <f t="shared" si="40"/>
        <v>1.6E-2</v>
      </c>
      <c r="J58">
        <f t="shared" si="40"/>
        <v>1.7777777777777778E-2</v>
      </c>
      <c r="K58">
        <f t="shared" si="41"/>
        <v>2.1666666666666667E-2</v>
      </c>
      <c r="L58">
        <f t="shared" si="41"/>
        <v>2.3333333333333334E-2</v>
      </c>
      <c r="M58">
        <f t="shared" si="41"/>
        <v>1.1481481481481481E-2</v>
      </c>
    </row>
    <row r="59" spans="1:13" x14ac:dyDescent="0.25">
      <c r="A59">
        <f t="shared" si="42"/>
        <v>0.6</v>
      </c>
      <c r="B59" s="3">
        <v>3</v>
      </c>
      <c r="C59" s="3">
        <v>5</v>
      </c>
      <c r="E59">
        <f t="shared" si="40"/>
        <v>0.01</v>
      </c>
      <c r="F59">
        <f t="shared" si="40"/>
        <v>1.2500000000000001E-2</v>
      </c>
      <c r="G59">
        <f t="shared" si="40"/>
        <v>1.3333333333333332E-2</v>
      </c>
      <c r="H59">
        <f t="shared" si="40"/>
        <v>1.5000000000000001E-2</v>
      </c>
      <c r="I59">
        <f t="shared" si="40"/>
        <v>1.6E-2</v>
      </c>
      <c r="J59">
        <f t="shared" si="40"/>
        <v>1.7777777777777778E-2</v>
      </c>
      <c r="K59">
        <f t="shared" si="41"/>
        <v>2.1666666666666667E-2</v>
      </c>
      <c r="L59">
        <f t="shared" si="41"/>
        <v>2.3333333333333334E-2</v>
      </c>
      <c r="M59">
        <f t="shared" si="41"/>
        <v>1.1481481481481481E-2</v>
      </c>
    </row>
    <row r="60" spans="1:13" x14ac:dyDescent="0.25">
      <c r="A60">
        <f t="shared" si="42"/>
        <v>1.3333333333333333</v>
      </c>
      <c r="B60" s="3">
        <v>4</v>
      </c>
      <c r="C60" s="3">
        <v>3</v>
      </c>
      <c r="E60">
        <f t="shared" si="40"/>
        <v>0.01</v>
      </c>
      <c r="F60">
        <f t="shared" si="40"/>
        <v>1.2500000000000001E-2</v>
      </c>
      <c r="G60">
        <f t="shared" si="40"/>
        <v>1.3333333333333332E-2</v>
      </c>
      <c r="H60">
        <f t="shared" si="40"/>
        <v>1.5000000000000001E-2</v>
      </c>
      <c r="I60">
        <f t="shared" si="40"/>
        <v>1.6E-2</v>
      </c>
      <c r="J60">
        <f t="shared" si="40"/>
        <v>1.7777777777777778E-2</v>
      </c>
      <c r="K60">
        <f t="shared" si="41"/>
        <v>2.1666666666666667E-2</v>
      </c>
      <c r="L60">
        <f t="shared" si="41"/>
        <v>2.3333333333333334E-2</v>
      </c>
      <c r="M60">
        <f t="shared" si="41"/>
        <v>1.1481481481481481E-2</v>
      </c>
    </row>
    <row r="61" spans="1:13" x14ac:dyDescent="0.25">
      <c r="A61">
        <f t="shared" si="42"/>
        <v>0.7142857142857143</v>
      </c>
      <c r="B61" s="3">
        <v>5</v>
      </c>
      <c r="C61" s="3">
        <v>7</v>
      </c>
      <c r="E61">
        <f t="shared" si="40"/>
        <v>0.01</v>
      </c>
      <c r="F61">
        <f t="shared" si="40"/>
        <v>1.2500000000000001E-2</v>
      </c>
      <c r="G61">
        <f t="shared" si="40"/>
        <v>1.3333333333333332E-2</v>
      </c>
      <c r="H61">
        <f t="shared" si="40"/>
        <v>1.5000000000000001E-2</v>
      </c>
      <c r="I61">
        <f t="shared" si="40"/>
        <v>1.6E-2</v>
      </c>
      <c r="J61">
        <f t="shared" si="40"/>
        <v>1.7777777777777778E-2</v>
      </c>
      <c r="K61">
        <f t="shared" si="41"/>
        <v>2.1666666666666667E-2</v>
      </c>
      <c r="L61">
        <f t="shared" si="41"/>
        <v>2.3333333333333334E-2</v>
      </c>
      <c r="M61">
        <f t="shared" si="41"/>
        <v>1.1481481481481481E-2</v>
      </c>
    </row>
    <row r="62" spans="1:13" x14ac:dyDescent="0.25">
      <c r="A62">
        <f t="shared" si="42"/>
        <v>0.5892857142857143</v>
      </c>
      <c r="B62" s="3">
        <v>99</v>
      </c>
      <c r="C62" s="3">
        <v>168</v>
      </c>
      <c r="E62">
        <f t="shared" si="40"/>
        <v>0.01</v>
      </c>
      <c r="F62">
        <f t="shared" si="40"/>
        <v>1.2500000000000001E-2</v>
      </c>
      <c r="G62">
        <f t="shared" si="40"/>
        <v>1.3333333333333332E-2</v>
      </c>
      <c r="H62">
        <f t="shared" si="40"/>
        <v>1.5000000000000001E-2</v>
      </c>
      <c r="I62">
        <f t="shared" si="40"/>
        <v>1.6E-2</v>
      </c>
      <c r="J62">
        <f t="shared" si="40"/>
        <v>1.7777777777777778E-2</v>
      </c>
      <c r="K62">
        <f t="shared" si="41"/>
        <v>2.1666666666666667E-2</v>
      </c>
      <c r="L62">
        <f t="shared" si="41"/>
        <v>2.3333333333333334E-2</v>
      </c>
      <c r="M62">
        <f t="shared" si="41"/>
        <v>1.1481481481481481E-2</v>
      </c>
    </row>
    <row r="63" spans="1:13" x14ac:dyDescent="0.25">
      <c r="A63">
        <f t="shared" si="42"/>
        <v>0.61764705882352944</v>
      </c>
      <c r="B63" s="3">
        <v>105</v>
      </c>
      <c r="C63" s="3">
        <v>170</v>
      </c>
      <c r="E63">
        <f t="shared" si="40"/>
        <v>0.01</v>
      </c>
      <c r="F63">
        <f t="shared" si="40"/>
        <v>1.2500000000000001E-2</v>
      </c>
      <c r="G63">
        <f t="shared" si="40"/>
        <v>1.3333333333333332E-2</v>
      </c>
      <c r="H63">
        <f t="shared" si="40"/>
        <v>1.5000000000000001E-2</v>
      </c>
      <c r="I63">
        <f t="shared" si="40"/>
        <v>1.6E-2</v>
      </c>
      <c r="J63">
        <f t="shared" si="40"/>
        <v>1.7777777777777778E-2</v>
      </c>
      <c r="K63">
        <f t="shared" si="41"/>
        <v>2.1666666666666667E-2</v>
      </c>
      <c r="L63">
        <f t="shared" si="41"/>
        <v>2.3333333333333334E-2</v>
      </c>
      <c r="M63">
        <f t="shared" si="41"/>
        <v>1.1481481481481481E-2</v>
      </c>
    </row>
    <row r="64" spans="1:13" x14ac:dyDescent="0.25">
      <c r="A64">
        <f t="shared" si="42"/>
        <v>1.6716417910447761</v>
      </c>
      <c r="B64" s="3">
        <v>112</v>
      </c>
      <c r="C64" s="3">
        <v>67</v>
      </c>
      <c r="E64">
        <f t="shared" si="40"/>
        <v>0.01</v>
      </c>
      <c r="F64">
        <f t="shared" si="40"/>
        <v>1.2500000000000001E-2</v>
      </c>
      <c r="G64">
        <f t="shared" si="40"/>
        <v>1.3333333333333332E-2</v>
      </c>
      <c r="H64">
        <f t="shared" si="40"/>
        <v>1.5000000000000001E-2</v>
      </c>
      <c r="I64">
        <f t="shared" si="40"/>
        <v>1.6E-2</v>
      </c>
      <c r="J64">
        <f t="shared" si="40"/>
        <v>1.7777777777777778E-2</v>
      </c>
      <c r="K64">
        <f t="shared" si="41"/>
        <v>2.1666666666666667E-2</v>
      </c>
      <c r="L64">
        <f t="shared" si="41"/>
        <v>2.3333333333333334E-2</v>
      </c>
      <c r="M64">
        <f t="shared" si="41"/>
        <v>1.1481481481481481E-2</v>
      </c>
    </row>
    <row r="65" spans="1:35" x14ac:dyDescent="0.25">
      <c r="A65">
        <f t="shared" si="42"/>
        <v>0.78488372093023251</v>
      </c>
      <c r="B65" s="3">
        <v>135</v>
      </c>
      <c r="C65" s="3">
        <v>172</v>
      </c>
      <c r="E65">
        <f t="shared" si="40"/>
        <v>0.01</v>
      </c>
      <c r="F65">
        <f t="shared" si="40"/>
        <v>1.2500000000000001E-2</v>
      </c>
      <c r="G65">
        <f t="shared" si="40"/>
        <v>1.3333333333333332E-2</v>
      </c>
      <c r="H65">
        <f t="shared" si="40"/>
        <v>1.5000000000000001E-2</v>
      </c>
      <c r="I65">
        <f t="shared" si="40"/>
        <v>1.6E-2</v>
      </c>
      <c r="J65">
        <f t="shared" si="40"/>
        <v>1.7777777777777778E-2</v>
      </c>
      <c r="K65">
        <f t="shared" si="41"/>
        <v>2.1666666666666667E-2</v>
      </c>
      <c r="L65">
        <f t="shared" si="41"/>
        <v>2.3333333333333334E-2</v>
      </c>
      <c r="M65">
        <f t="shared" si="41"/>
        <v>1.1481481481481481E-2</v>
      </c>
    </row>
    <row r="66" spans="1:35" x14ac:dyDescent="0.25">
      <c r="A66">
        <f t="shared" si="42"/>
        <v>0.6908212560386473</v>
      </c>
      <c r="B66" s="3">
        <v>143</v>
      </c>
      <c r="C66" s="3">
        <v>207</v>
      </c>
      <c r="E66">
        <f t="shared" si="40"/>
        <v>0.01</v>
      </c>
      <c r="F66">
        <f t="shared" si="40"/>
        <v>1.2500000000000001E-2</v>
      </c>
      <c r="G66">
        <f t="shared" si="40"/>
        <v>1.3333333333333332E-2</v>
      </c>
      <c r="H66">
        <f t="shared" si="40"/>
        <v>1.5000000000000001E-2</v>
      </c>
      <c r="I66">
        <f t="shared" si="40"/>
        <v>1.6E-2</v>
      </c>
      <c r="J66">
        <f t="shared" si="40"/>
        <v>1.7777777777777778E-2</v>
      </c>
      <c r="K66">
        <f t="shared" si="41"/>
        <v>2.1666666666666667E-2</v>
      </c>
      <c r="L66">
        <f t="shared" si="41"/>
        <v>2.3333333333333334E-2</v>
      </c>
      <c r="M66">
        <f t="shared" si="41"/>
        <v>1.1481481481481481E-2</v>
      </c>
    </row>
    <row r="67" spans="1:35" x14ac:dyDescent="0.25">
      <c r="A67">
        <f t="shared" si="42"/>
        <v>0.70731707317073167</v>
      </c>
      <c r="B67" s="3">
        <v>145</v>
      </c>
      <c r="C67" s="3">
        <v>205</v>
      </c>
      <c r="E67">
        <f t="shared" si="40"/>
        <v>0.01</v>
      </c>
      <c r="F67">
        <f t="shared" si="40"/>
        <v>1.2500000000000001E-2</v>
      </c>
      <c r="G67">
        <f t="shared" si="40"/>
        <v>1.3333333333333332E-2</v>
      </c>
      <c r="H67">
        <f t="shared" si="40"/>
        <v>1.5000000000000001E-2</v>
      </c>
      <c r="I67">
        <f t="shared" si="40"/>
        <v>1.6E-2</v>
      </c>
      <c r="J67">
        <f t="shared" si="40"/>
        <v>1.7777777777777778E-2</v>
      </c>
      <c r="K67">
        <f t="shared" si="41"/>
        <v>2.1666666666666667E-2</v>
      </c>
      <c r="L67">
        <f t="shared" si="41"/>
        <v>2.3333333333333334E-2</v>
      </c>
      <c r="M67">
        <f t="shared" si="41"/>
        <v>1.1481481481481481E-2</v>
      </c>
    </row>
    <row r="68" spans="1:35" x14ac:dyDescent="0.25">
      <c r="A68">
        <f t="shared" si="42"/>
        <v>0.71470588235294119</v>
      </c>
      <c r="B68" s="3">
        <v>243</v>
      </c>
      <c r="C68" s="3">
        <v>340</v>
      </c>
      <c r="E68">
        <f t="shared" si="40"/>
        <v>0.01</v>
      </c>
      <c r="F68">
        <f t="shared" si="40"/>
        <v>1.2500000000000001E-2</v>
      </c>
      <c r="G68">
        <f t="shared" si="40"/>
        <v>1.3333333333333332E-2</v>
      </c>
      <c r="H68">
        <f t="shared" si="40"/>
        <v>1.5000000000000001E-2</v>
      </c>
      <c r="I68">
        <f t="shared" si="40"/>
        <v>1.6E-2</v>
      </c>
      <c r="J68">
        <f t="shared" si="40"/>
        <v>1.7777777777777778E-2</v>
      </c>
      <c r="K68">
        <f t="shared" si="41"/>
        <v>2.1666666666666667E-2</v>
      </c>
      <c r="L68">
        <f t="shared" si="41"/>
        <v>2.3333333333333334E-2</v>
      </c>
      <c r="M68">
        <f t="shared" si="41"/>
        <v>1.1481481481481481E-2</v>
      </c>
    </row>
    <row r="69" spans="1:35" x14ac:dyDescent="0.25">
      <c r="A69">
        <f t="shared" si="42"/>
        <v>1.1222707423580787</v>
      </c>
      <c r="B69" s="3">
        <v>257</v>
      </c>
      <c r="C69" s="3">
        <v>229</v>
      </c>
      <c r="E69">
        <f t="shared" si="40"/>
        <v>0.01</v>
      </c>
      <c r="F69">
        <f t="shared" si="40"/>
        <v>1.2500000000000001E-2</v>
      </c>
      <c r="G69">
        <f t="shared" si="40"/>
        <v>1.3333333333333332E-2</v>
      </c>
      <c r="H69">
        <f t="shared" si="40"/>
        <v>1.5000000000000001E-2</v>
      </c>
      <c r="I69">
        <f t="shared" si="40"/>
        <v>1.6E-2</v>
      </c>
      <c r="J69">
        <f t="shared" si="40"/>
        <v>1.7777777777777778E-2</v>
      </c>
      <c r="K69">
        <f t="shared" si="41"/>
        <v>2.1666666666666667E-2</v>
      </c>
      <c r="L69">
        <f t="shared" si="41"/>
        <v>2.3333333333333334E-2</v>
      </c>
      <c r="M69">
        <f t="shared" si="41"/>
        <v>1.1481481481481481E-2</v>
      </c>
    </row>
    <row r="70" spans="1:35" x14ac:dyDescent="0.25">
      <c r="A70">
        <f t="shared" si="42"/>
        <v>0.85550458715596334</v>
      </c>
      <c r="B70" s="3">
        <v>373</v>
      </c>
      <c r="C70" s="3">
        <v>436</v>
      </c>
      <c r="E70">
        <f t="shared" si="40"/>
        <v>0.01</v>
      </c>
      <c r="F70">
        <f t="shared" si="40"/>
        <v>1.2500000000000001E-2</v>
      </c>
      <c r="G70">
        <f t="shared" si="40"/>
        <v>1.3333333333333332E-2</v>
      </c>
      <c r="H70">
        <f t="shared" si="40"/>
        <v>1.5000000000000001E-2</v>
      </c>
      <c r="I70">
        <f t="shared" si="40"/>
        <v>1.6E-2</v>
      </c>
      <c r="J70">
        <f t="shared" si="40"/>
        <v>1.7777777777777778E-2</v>
      </c>
      <c r="K70">
        <f t="shared" si="41"/>
        <v>2.1666666666666667E-2</v>
      </c>
      <c r="L70">
        <f t="shared" si="41"/>
        <v>2.3333333333333334E-2</v>
      </c>
      <c r="M70">
        <f t="shared" si="41"/>
        <v>1.1481481481481481E-2</v>
      </c>
    </row>
    <row r="71" spans="1:35" x14ac:dyDescent="0.25">
      <c r="A71">
        <f t="shared" si="42"/>
        <v>0.52222222222222225</v>
      </c>
      <c r="B71" s="3">
        <v>752</v>
      </c>
      <c r="C71" s="3">
        <v>1440</v>
      </c>
      <c r="E71">
        <f t="shared" ref="E71:M71" si="43">($K$1*E$53)/E$54</f>
        <v>0.01</v>
      </c>
      <c r="F71">
        <f t="shared" si="43"/>
        <v>1.2500000000000001E-2</v>
      </c>
      <c r="G71">
        <f t="shared" si="43"/>
        <v>1.3333333333333332E-2</v>
      </c>
      <c r="H71">
        <f t="shared" si="43"/>
        <v>1.5000000000000001E-2</v>
      </c>
      <c r="I71">
        <f t="shared" si="43"/>
        <v>1.6E-2</v>
      </c>
      <c r="J71">
        <f t="shared" si="43"/>
        <v>1.7777777777777778E-2</v>
      </c>
      <c r="K71">
        <f t="shared" si="43"/>
        <v>2.1666666666666667E-2</v>
      </c>
      <c r="L71">
        <f t="shared" si="43"/>
        <v>2.3333333333333334E-2</v>
      </c>
      <c r="M71">
        <f t="shared" si="43"/>
        <v>1.1481481481481481E-2</v>
      </c>
    </row>
    <row r="74" spans="1:35" x14ac:dyDescent="0.25">
      <c r="E74" s="1" t="s">
        <v>19</v>
      </c>
      <c r="F74" s="2"/>
      <c r="G74" s="2"/>
      <c r="H74" s="2"/>
      <c r="I74" s="2"/>
      <c r="J74" s="2"/>
      <c r="P74" s="6" t="s">
        <v>20</v>
      </c>
      <c r="AA74" s="6" t="s">
        <v>21</v>
      </c>
    </row>
    <row r="75" spans="1:35" x14ac:dyDescent="0.25">
      <c r="E75" s="3">
        <v>1</v>
      </c>
      <c r="F75" s="3">
        <v>5</v>
      </c>
      <c r="G75" s="3">
        <v>4</v>
      </c>
      <c r="H75" s="3">
        <v>3</v>
      </c>
      <c r="I75" s="3">
        <v>16</v>
      </c>
      <c r="J75" s="3">
        <v>16</v>
      </c>
      <c r="K75" s="3">
        <v>19.5</v>
      </c>
      <c r="L75" s="3">
        <v>21</v>
      </c>
      <c r="M75" s="3">
        <v>8</v>
      </c>
      <c r="P75" s="3">
        <v>1</v>
      </c>
      <c r="Q75" s="3">
        <v>5</v>
      </c>
      <c r="R75" s="3">
        <v>4</v>
      </c>
      <c r="S75" s="3">
        <v>3</v>
      </c>
      <c r="T75" s="3">
        <v>16</v>
      </c>
      <c r="U75" s="3">
        <v>16</v>
      </c>
      <c r="V75" s="3">
        <v>19.5</v>
      </c>
      <c r="W75" s="3">
        <v>21</v>
      </c>
      <c r="X75" s="3">
        <v>8</v>
      </c>
      <c r="AA75" s="3">
        <v>1</v>
      </c>
      <c r="AB75" s="3">
        <v>5</v>
      </c>
      <c r="AC75" s="3">
        <v>4</v>
      </c>
      <c r="AD75" s="3">
        <v>3</v>
      </c>
      <c r="AE75" s="3">
        <v>16</v>
      </c>
      <c r="AF75" s="3">
        <v>16</v>
      </c>
      <c r="AG75" s="3">
        <v>19.5</v>
      </c>
      <c r="AH75" s="3">
        <v>21</v>
      </c>
      <c r="AI75" s="3">
        <v>8</v>
      </c>
    </row>
    <row r="76" spans="1:35" x14ac:dyDescent="0.25">
      <c r="E76" s="3">
        <v>1</v>
      </c>
      <c r="F76" s="3">
        <v>4</v>
      </c>
      <c r="G76" s="3">
        <v>3</v>
      </c>
      <c r="H76" s="3">
        <v>2</v>
      </c>
      <c r="I76" s="3">
        <v>10</v>
      </c>
      <c r="J76" s="3">
        <v>9</v>
      </c>
      <c r="K76" s="3">
        <v>9</v>
      </c>
      <c r="L76" s="3">
        <v>9</v>
      </c>
      <c r="M76" s="3">
        <v>7</v>
      </c>
      <c r="P76" s="3">
        <v>1</v>
      </c>
      <c r="Q76" s="3">
        <v>4</v>
      </c>
      <c r="R76" s="3">
        <v>3</v>
      </c>
      <c r="S76" s="3">
        <v>2</v>
      </c>
      <c r="T76" s="3">
        <v>10</v>
      </c>
      <c r="U76" s="3">
        <v>9</v>
      </c>
      <c r="V76" s="3">
        <v>9</v>
      </c>
      <c r="W76" s="3">
        <v>9</v>
      </c>
      <c r="X76" s="3">
        <v>7</v>
      </c>
      <c r="AA76" s="3">
        <v>1</v>
      </c>
      <c r="AB76" s="3">
        <v>4</v>
      </c>
      <c r="AC76" s="3">
        <v>3</v>
      </c>
      <c r="AD76" s="3">
        <v>2</v>
      </c>
      <c r="AE76" s="3">
        <v>10</v>
      </c>
      <c r="AF76" s="3">
        <v>9</v>
      </c>
      <c r="AG76" s="3">
        <v>9</v>
      </c>
      <c r="AH76" s="3">
        <v>9</v>
      </c>
      <c r="AI76" s="3">
        <v>7</v>
      </c>
    </row>
    <row r="77" spans="1:35" x14ac:dyDescent="0.25">
      <c r="D77" s="3" t="s">
        <v>0</v>
      </c>
      <c r="E77" s="3">
        <v>720</v>
      </c>
      <c r="F77" s="3">
        <v>900</v>
      </c>
      <c r="G77" s="3">
        <v>960</v>
      </c>
      <c r="H77" s="3">
        <v>1080</v>
      </c>
      <c r="I77" s="3">
        <v>1152</v>
      </c>
      <c r="J77" s="3">
        <v>1280</v>
      </c>
      <c r="K77" s="3">
        <v>1560</v>
      </c>
      <c r="L77" s="3">
        <v>1680</v>
      </c>
      <c r="M77">
        <v>1240</v>
      </c>
      <c r="P77" s="3">
        <v>720</v>
      </c>
      <c r="Q77" s="3">
        <v>900</v>
      </c>
      <c r="R77" s="3">
        <v>960</v>
      </c>
      <c r="S77" s="3">
        <v>1080</v>
      </c>
      <c r="T77" s="3">
        <v>1152</v>
      </c>
      <c r="U77" s="3">
        <v>1280</v>
      </c>
      <c r="V77" s="3">
        <v>1560</v>
      </c>
      <c r="W77" s="3">
        <v>1680</v>
      </c>
      <c r="X77">
        <v>1240</v>
      </c>
      <c r="AA77" s="3">
        <v>720</v>
      </c>
      <c r="AB77" s="3">
        <v>900</v>
      </c>
      <c r="AC77" s="3">
        <v>960</v>
      </c>
      <c r="AD77" s="3">
        <v>1080</v>
      </c>
      <c r="AE77" s="3">
        <v>1152</v>
      </c>
      <c r="AF77" s="3">
        <v>1280</v>
      </c>
      <c r="AG77" s="3">
        <v>1560</v>
      </c>
      <c r="AH77" s="3">
        <v>1680</v>
      </c>
      <c r="AI77">
        <v>1240</v>
      </c>
    </row>
    <row r="78" spans="1:35" x14ac:dyDescent="0.25">
      <c r="B78" s="2" t="s">
        <v>0</v>
      </c>
      <c r="C78" s="2" t="s">
        <v>1</v>
      </c>
      <c r="D78" s="3" t="s">
        <v>1</v>
      </c>
      <c r="E78" s="3">
        <v>720</v>
      </c>
      <c r="F78" s="3">
        <v>720</v>
      </c>
      <c r="G78" s="3">
        <v>720</v>
      </c>
      <c r="H78" s="3">
        <v>720</v>
      </c>
      <c r="I78" s="3">
        <v>720</v>
      </c>
      <c r="J78" s="3">
        <v>720</v>
      </c>
      <c r="K78" s="3">
        <v>720</v>
      </c>
      <c r="L78" s="3">
        <v>720</v>
      </c>
      <c r="M78" s="3">
        <v>1080</v>
      </c>
      <c r="P78" s="3">
        <v>720</v>
      </c>
      <c r="Q78" s="3">
        <v>720</v>
      </c>
      <c r="R78" s="3">
        <v>720</v>
      </c>
      <c r="S78" s="3">
        <v>720</v>
      </c>
      <c r="T78" s="3">
        <v>720</v>
      </c>
      <c r="U78" s="3">
        <v>720</v>
      </c>
      <c r="V78" s="3">
        <v>720</v>
      </c>
      <c r="W78" s="3">
        <v>720</v>
      </c>
      <c r="X78" s="3">
        <v>1080</v>
      </c>
      <c r="AA78" s="3">
        <v>720</v>
      </c>
      <c r="AB78" s="3">
        <v>720</v>
      </c>
      <c r="AC78" s="3">
        <v>720</v>
      </c>
      <c r="AD78" s="3">
        <v>720</v>
      </c>
      <c r="AE78" s="3">
        <v>720</v>
      </c>
      <c r="AF78" s="3">
        <v>720</v>
      </c>
      <c r="AG78" s="3">
        <v>720</v>
      </c>
      <c r="AH78" s="3">
        <v>720</v>
      </c>
      <c r="AI78" s="3">
        <v>1080</v>
      </c>
    </row>
    <row r="79" spans="1:35" x14ac:dyDescent="0.25">
      <c r="A79">
        <f>B79/C79</f>
        <v>1</v>
      </c>
      <c r="B79" s="3">
        <v>1</v>
      </c>
      <c r="C79" s="3">
        <v>1</v>
      </c>
      <c r="E79">
        <f>IF($A79&gt;1, 3, IF($A79&lt;0.666, 5, 4))-1</f>
        <v>3</v>
      </c>
      <c r="F79">
        <f t="shared" ref="F79:I94" si="44">IF($A79&gt;1, 3, IF($A79&lt;0.666, 5, 4))</f>
        <v>4</v>
      </c>
      <c r="G79">
        <f t="shared" si="44"/>
        <v>4</v>
      </c>
      <c r="H79">
        <f t="shared" si="44"/>
        <v>4</v>
      </c>
      <c r="I79">
        <f t="shared" si="44"/>
        <v>4</v>
      </c>
      <c r="J79">
        <f>IF($A79&gt;1, 3, IF($A79&lt;0.666, 5, 4))</f>
        <v>4</v>
      </c>
      <c r="K79">
        <f t="shared" ref="K79" si="45">IF($A79&gt;1, 3, IF($A79&lt;0.666, 5, 4))</f>
        <v>4</v>
      </c>
      <c r="L79">
        <f>IF($A79&gt;1, 3, IF($A79&lt;0.666, 5, 4))+1</f>
        <v>5</v>
      </c>
      <c r="M79">
        <f>IF($A79&gt;1, 3, IF($A79&lt;0.666, 5, 4))-1</f>
        <v>3</v>
      </c>
      <c r="P79">
        <f>$P$2/E31</f>
        <v>2.9779411764705888</v>
      </c>
      <c r="Q79">
        <f t="shared" ref="Q79:X94" si="46">$P$2/F31</f>
        <v>3.2238805970149262</v>
      </c>
      <c r="R79">
        <f t="shared" si="46"/>
        <v>3.0223880597014934</v>
      </c>
      <c r="S79">
        <f t="shared" si="46"/>
        <v>2.6865671641791051</v>
      </c>
      <c r="T79">
        <f t="shared" si="46"/>
        <v>2.5186567164179108</v>
      </c>
      <c r="U79">
        <f t="shared" si="46"/>
        <v>2.2667910447761197</v>
      </c>
      <c r="V79">
        <f t="shared" si="46"/>
        <v>1.8599311136624574</v>
      </c>
      <c r="W79">
        <f t="shared" si="46"/>
        <v>2.1915584415584419</v>
      </c>
      <c r="X79">
        <f t="shared" si="46"/>
        <v>2.5936907020872866</v>
      </c>
      <c r="AA79">
        <f>P79*E79</f>
        <v>8.9338235294117663</v>
      </c>
      <c r="AB79">
        <f t="shared" ref="AB79:AI94" si="47">Q79*F79</f>
        <v>12.895522388059705</v>
      </c>
      <c r="AC79">
        <f t="shared" si="47"/>
        <v>12.089552238805974</v>
      </c>
      <c r="AD79">
        <f t="shared" si="47"/>
        <v>10.746268656716421</v>
      </c>
      <c r="AE79">
        <f t="shared" si="47"/>
        <v>10.074626865671643</v>
      </c>
      <c r="AF79">
        <f t="shared" si="47"/>
        <v>9.0671641791044788</v>
      </c>
      <c r="AG79">
        <f t="shared" si="47"/>
        <v>7.4397244546498298</v>
      </c>
      <c r="AH79">
        <f t="shared" si="47"/>
        <v>10.95779220779221</v>
      </c>
      <c r="AI79">
        <f t="shared" si="47"/>
        <v>7.7810721062618597</v>
      </c>
    </row>
    <row r="80" spans="1:35" x14ac:dyDescent="0.25">
      <c r="A80">
        <f t="shared" ref="A80:A95" si="48">B80/C80</f>
        <v>0.5</v>
      </c>
      <c r="B80" s="3">
        <v>1</v>
      </c>
      <c r="C80" s="3">
        <v>2</v>
      </c>
      <c r="E80">
        <f t="shared" ref="E80:E95" si="49">IF($A80&gt;1, 3, IF($A80&lt;0.666, 5, 4))-1</f>
        <v>4</v>
      </c>
      <c r="F80">
        <f t="shared" si="44"/>
        <v>5</v>
      </c>
      <c r="G80">
        <f t="shared" si="44"/>
        <v>5</v>
      </c>
      <c r="H80">
        <f t="shared" si="44"/>
        <v>5</v>
      </c>
      <c r="I80">
        <f t="shared" si="44"/>
        <v>5</v>
      </c>
      <c r="J80">
        <f t="shared" ref="J80:K95" si="50">IF($A80&gt;1, 3, IF($A80&lt;0.666, 5, 4))</f>
        <v>5</v>
      </c>
      <c r="K80">
        <f t="shared" si="50"/>
        <v>5</v>
      </c>
      <c r="L80">
        <f t="shared" ref="L80:L95" si="51">IF($A80&gt;1, 3, IF($A80&lt;0.666, 5, 4))+1</f>
        <v>6</v>
      </c>
      <c r="M80">
        <f t="shared" ref="M80:M95" si="52">IF($A80&gt;1, 3, IF($A80&lt;0.666, 5, 4))-1</f>
        <v>4</v>
      </c>
      <c r="P80">
        <f t="shared" ref="P80:P95" si="53">$P$2/E32</f>
        <v>2.0149253731343286</v>
      </c>
      <c r="Q80">
        <f t="shared" ref="Q80:Q95" si="54">$P$2/F32</f>
        <v>2.0454545454545459</v>
      </c>
      <c r="R80">
        <f t="shared" ref="R80:R95" si="55">$P$2/G32</f>
        <v>1.9176136363636367</v>
      </c>
      <c r="S80">
        <f t="shared" ref="S80:S95" si="56">$P$2/H32</f>
        <v>1.704545454545455</v>
      </c>
      <c r="T80">
        <f t="shared" ref="T80:T95" si="57">$P$2/I32</f>
        <v>1.5980113636363642</v>
      </c>
      <c r="U80">
        <f t="shared" ref="U80:U95" si="58">$P$2/J32</f>
        <v>1.4382102272727275</v>
      </c>
      <c r="V80">
        <f t="shared" ref="V80:V95" si="59">$P$2/K32</f>
        <v>1.1800699300699304</v>
      </c>
      <c r="W80">
        <f t="shared" ref="W80:X95" si="60">$P$2/L32</f>
        <v>1.3351648351648355</v>
      </c>
      <c r="X80">
        <f t="shared" si="46"/>
        <v>1.7549350024073185</v>
      </c>
      <c r="AA80">
        <f t="shared" ref="AA80:AA95" si="61">P80*E80</f>
        <v>8.0597014925373145</v>
      </c>
      <c r="AB80">
        <f t="shared" si="47"/>
        <v>10.22727272727273</v>
      </c>
      <c r="AC80">
        <f t="shared" si="47"/>
        <v>9.5880681818181834</v>
      </c>
      <c r="AD80">
        <f t="shared" si="47"/>
        <v>8.5227272727272751</v>
      </c>
      <c r="AE80">
        <f t="shared" si="47"/>
        <v>7.990056818181821</v>
      </c>
      <c r="AF80">
        <f t="shared" si="47"/>
        <v>7.1910511363636376</v>
      </c>
      <c r="AG80">
        <f t="shared" si="47"/>
        <v>5.9003496503496518</v>
      </c>
      <c r="AH80">
        <f t="shared" si="47"/>
        <v>8.0109890109890127</v>
      </c>
      <c r="AI80">
        <f t="shared" si="47"/>
        <v>7.0197400096292739</v>
      </c>
    </row>
    <row r="81" spans="1:35" x14ac:dyDescent="0.25">
      <c r="A81">
        <f t="shared" si="48"/>
        <v>0.66666666666666663</v>
      </c>
      <c r="B81" s="3">
        <v>2</v>
      </c>
      <c r="C81" s="3">
        <v>3</v>
      </c>
      <c r="E81">
        <f t="shared" si="49"/>
        <v>3</v>
      </c>
      <c r="F81">
        <f t="shared" si="44"/>
        <v>4</v>
      </c>
      <c r="G81">
        <f t="shared" si="44"/>
        <v>4</v>
      </c>
      <c r="H81">
        <f t="shared" si="44"/>
        <v>4</v>
      </c>
      <c r="I81">
        <f t="shared" si="44"/>
        <v>4</v>
      </c>
      <c r="J81">
        <f t="shared" si="50"/>
        <v>4</v>
      </c>
      <c r="K81">
        <f t="shared" si="50"/>
        <v>4</v>
      </c>
      <c r="L81">
        <f t="shared" si="51"/>
        <v>5</v>
      </c>
      <c r="M81">
        <f t="shared" si="52"/>
        <v>3</v>
      </c>
      <c r="P81">
        <f t="shared" si="53"/>
        <v>1.9852941176470591</v>
      </c>
      <c r="Q81">
        <f t="shared" si="54"/>
        <v>2.1492537313432845</v>
      </c>
      <c r="R81">
        <f t="shared" si="55"/>
        <v>2.0149253731343286</v>
      </c>
      <c r="S81">
        <f t="shared" si="56"/>
        <v>1.7910447761194033</v>
      </c>
      <c r="T81">
        <f t="shared" si="57"/>
        <v>1.6791044776119408</v>
      </c>
      <c r="U81">
        <f t="shared" si="58"/>
        <v>1.5111940298507467</v>
      </c>
      <c r="V81">
        <f t="shared" si="59"/>
        <v>1.2399540757749714</v>
      </c>
      <c r="W81">
        <f t="shared" si="60"/>
        <v>1.4610389610389614</v>
      </c>
      <c r="X81">
        <f t="shared" si="46"/>
        <v>1.7291271347248578</v>
      </c>
      <c r="AA81">
        <f t="shared" si="61"/>
        <v>5.9558823529411775</v>
      </c>
      <c r="AB81">
        <f t="shared" si="47"/>
        <v>8.5970149253731378</v>
      </c>
      <c r="AC81">
        <f t="shared" si="47"/>
        <v>8.0597014925373145</v>
      </c>
      <c r="AD81">
        <f t="shared" si="47"/>
        <v>7.1641791044776131</v>
      </c>
      <c r="AE81">
        <f t="shared" si="47"/>
        <v>6.7164179104477633</v>
      </c>
      <c r="AF81">
        <f t="shared" si="47"/>
        <v>6.0447761194029868</v>
      </c>
      <c r="AG81">
        <f t="shared" si="47"/>
        <v>4.9598163030998856</v>
      </c>
      <c r="AH81">
        <f t="shared" si="47"/>
        <v>7.305194805194807</v>
      </c>
      <c r="AI81">
        <f t="shared" si="47"/>
        <v>5.1873814041745732</v>
      </c>
    </row>
    <row r="82" spans="1:35" x14ac:dyDescent="0.25">
      <c r="A82">
        <f t="shared" si="48"/>
        <v>0.75</v>
      </c>
      <c r="B82" s="3">
        <v>3</v>
      </c>
      <c r="C82" s="3">
        <v>4</v>
      </c>
      <c r="E82">
        <f t="shared" si="49"/>
        <v>3</v>
      </c>
      <c r="F82">
        <f t="shared" si="44"/>
        <v>4</v>
      </c>
      <c r="G82">
        <f t="shared" si="44"/>
        <v>4</v>
      </c>
      <c r="H82">
        <f t="shared" si="44"/>
        <v>4</v>
      </c>
      <c r="I82">
        <f t="shared" si="44"/>
        <v>4</v>
      </c>
      <c r="J82">
        <f t="shared" si="50"/>
        <v>4</v>
      </c>
      <c r="K82">
        <f t="shared" si="50"/>
        <v>4</v>
      </c>
      <c r="L82">
        <f t="shared" si="51"/>
        <v>5</v>
      </c>
      <c r="M82">
        <f t="shared" si="52"/>
        <v>3</v>
      </c>
      <c r="P82">
        <f t="shared" si="53"/>
        <v>2.2334558823529416</v>
      </c>
      <c r="Q82">
        <f t="shared" si="54"/>
        <v>2.4179104477611952</v>
      </c>
      <c r="R82">
        <f t="shared" si="55"/>
        <v>2.2667910447761197</v>
      </c>
      <c r="S82">
        <f t="shared" si="56"/>
        <v>2.0149253731343286</v>
      </c>
      <c r="T82">
        <f t="shared" si="57"/>
        <v>1.8889925373134333</v>
      </c>
      <c r="U82">
        <f t="shared" si="58"/>
        <v>1.7000932835820899</v>
      </c>
      <c r="V82">
        <f t="shared" si="59"/>
        <v>1.3949483352468433</v>
      </c>
      <c r="W82">
        <f t="shared" si="60"/>
        <v>1.6436688311688314</v>
      </c>
      <c r="X82">
        <f t="shared" si="46"/>
        <v>1.9452680265654649</v>
      </c>
      <c r="AA82">
        <f t="shared" si="61"/>
        <v>6.7003676470588243</v>
      </c>
      <c r="AB82">
        <f t="shared" si="47"/>
        <v>9.6716417910447809</v>
      </c>
      <c r="AC82">
        <f t="shared" si="47"/>
        <v>9.0671641791044788</v>
      </c>
      <c r="AD82">
        <f t="shared" si="47"/>
        <v>8.0597014925373145</v>
      </c>
      <c r="AE82">
        <f t="shared" si="47"/>
        <v>7.5559701492537332</v>
      </c>
      <c r="AF82">
        <f t="shared" si="47"/>
        <v>6.8003731343283595</v>
      </c>
      <c r="AG82">
        <f t="shared" si="47"/>
        <v>5.579793340987373</v>
      </c>
      <c r="AH82">
        <f t="shared" si="47"/>
        <v>8.2183441558441572</v>
      </c>
      <c r="AI82">
        <f t="shared" si="47"/>
        <v>5.8358040796963948</v>
      </c>
    </row>
    <row r="83" spans="1:35" x14ac:dyDescent="0.25">
      <c r="A83">
        <f t="shared" si="48"/>
        <v>0.6</v>
      </c>
      <c r="B83" s="3">
        <v>3</v>
      </c>
      <c r="C83" s="3">
        <v>5</v>
      </c>
      <c r="E83">
        <f t="shared" si="49"/>
        <v>4</v>
      </c>
      <c r="F83">
        <f t="shared" si="44"/>
        <v>5</v>
      </c>
      <c r="G83">
        <f t="shared" si="44"/>
        <v>5</v>
      </c>
      <c r="H83">
        <f t="shared" si="44"/>
        <v>5</v>
      </c>
      <c r="I83">
        <f t="shared" si="44"/>
        <v>5</v>
      </c>
      <c r="J83">
        <f t="shared" si="50"/>
        <v>5</v>
      </c>
      <c r="K83">
        <f t="shared" si="50"/>
        <v>5</v>
      </c>
      <c r="L83">
        <f t="shared" si="51"/>
        <v>6</v>
      </c>
      <c r="M83">
        <f t="shared" si="52"/>
        <v>4</v>
      </c>
      <c r="P83">
        <f t="shared" si="53"/>
        <v>2.4179104477611939</v>
      </c>
      <c r="Q83">
        <f t="shared" si="54"/>
        <v>2.454545454545455</v>
      </c>
      <c r="R83">
        <f t="shared" si="55"/>
        <v>2.3011363636363638</v>
      </c>
      <c r="S83">
        <f t="shared" si="56"/>
        <v>2.0454545454545459</v>
      </c>
      <c r="T83">
        <f t="shared" si="57"/>
        <v>1.9176136363636369</v>
      </c>
      <c r="U83">
        <f t="shared" si="58"/>
        <v>1.7258522727272729</v>
      </c>
      <c r="V83">
        <f t="shared" si="59"/>
        <v>1.4160839160839165</v>
      </c>
      <c r="W83">
        <f t="shared" si="60"/>
        <v>1.6021978021978023</v>
      </c>
      <c r="X83">
        <f t="shared" si="46"/>
        <v>2.1059220028887822</v>
      </c>
      <c r="AA83">
        <f t="shared" si="61"/>
        <v>9.6716417910447756</v>
      </c>
      <c r="AB83">
        <f t="shared" si="47"/>
        <v>12.272727272727275</v>
      </c>
      <c r="AC83">
        <f t="shared" si="47"/>
        <v>11.505681818181818</v>
      </c>
      <c r="AD83">
        <f t="shared" si="47"/>
        <v>10.22727272727273</v>
      </c>
      <c r="AE83">
        <f t="shared" si="47"/>
        <v>9.5880681818181852</v>
      </c>
      <c r="AF83">
        <f t="shared" si="47"/>
        <v>8.6292613636363651</v>
      </c>
      <c r="AG83">
        <f t="shared" si="47"/>
        <v>7.0804195804195826</v>
      </c>
      <c r="AH83">
        <f t="shared" si="47"/>
        <v>9.6131868131868146</v>
      </c>
      <c r="AI83">
        <f t="shared" si="47"/>
        <v>8.4236880115551287</v>
      </c>
    </row>
    <row r="84" spans="1:35" x14ac:dyDescent="0.25">
      <c r="A84">
        <f t="shared" si="48"/>
        <v>1.3333333333333333</v>
      </c>
      <c r="B84" s="3">
        <v>4</v>
      </c>
      <c r="C84" s="3">
        <v>3</v>
      </c>
      <c r="E84">
        <f t="shared" si="49"/>
        <v>2</v>
      </c>
      <c r="F84">
        <f t="shared" si="44"/>
        <v>3</v>
      </c>
      <c r="G84">
        <f t="shared" si="44"/>
        <v>3</v>
      </c>
      <c r="H84">
        <f t="shared" si="44"/>
        <v>3</v>
      </c>
      <c r="I84">
        <f t="shared" si="44"/>
        <v>3</v>
      </c>
      <c r="J84">
        <f t="shared" si="50"/>
        <v>3</v>
      </c>
      <c r="K84">
        <f t="shared" si="50"/>
        <v>3</v>
      </c>
      <c r="L84">
        <f t="shared" si="51"/>
        <v>4</v>
      </c>
      <c r="M84">
        <f t="shared" si="52"/>
        <v>2</v>
      </c>
      <c r="P84">
        <f t="shared" si="53"/>
        <v>2.6086956521739135</v>
      </c>
      <c r="Q84">
        <f t="shared" si="54"/>
        <v>3.1764705882352944</v>
      </c>
      <c r="R84">
        <f t="shared" si="55"/>
        <v>2.9779411764705888</v>
      </c>
      <c r="S84">
        <f t="shared" si="56"/>
        <v>2.6470588235294117</v>
      </c>
      <c r="T84">
        <f t="shared" si="57"/>
        <v>2.4816176470588234</v>
      </c>
      <c r="U84">
        <f t="shared" si="58"/>
        <v>2.2334558823529411</v>
      </c>
      <c r="V84">
        <f t="shared" si="59"/>
        <v>1.8325791855203624</v>
      </c>
      <c r="W84">
        <f t="shared" si="60"/>
        <v>2.3027718550106613</v>
      </c>
      <c r="X84">
        <f t="shared" si="46"/>
        <v>2.272089761570828</v>
      </c>
      <c r="AA84">
        <f t="shared" si="61"/>
        <v>5.2173913043478271</v>
      </c>
      <c r="AB84">
        <f t="shared" si="47"/>
        <v>9.529411764705884</v>
      </c>
      <c r="AC84">
        <f t="shared" si="47"/>
        <v>8.9338235294117663</v>
      </c>
      <c r="AD84">
        <f t="shared" si="47"/>
        <v>7.9411764705882355</v>
      </c>
      <c r="AE84">
        <f t="shared" si="47"/>
        <v>7.4448529411764701</v>
      </c>
      <c r="AF84">
        <f t="shared" si="47"/>
        <v>6.7003676470588234</v>
      </c>
      <c r="AG84">
        <f t="shared" si="47"/>
        <v>5.4977375565610869</v>
      </c>
      <c r="AH84">
        <f t="shared" si="47"/>
        <v>9.2110874200426451</v>
      </c>
      <c r="AI84">
        <f t="shared" si="47"/>
        <v>4.544179523141656</v>
      </c>
    </row>
    <row r="85" spans="1:35" x14ac:dyDescent="0.25">
      <c r="A85">
        <f t="shared" si="48"/>
        <v>0.7142857142857143</v>
      </c>
      <c r="B85" s="3">
        <v>5</v>
      </c>
      <c r="C85" s="3">
        <v>7</v>
      </c>
      <c r="E85">
        <f t="shared" si="49"/>
        <v>3</v>
      </c>
      <c r="F85">
        <f t="shared" si="44"/>
        <v>4</v>
      </c>
      <c r="G85">
        <f t="shared" si="44"/>
        <v>4</v>
      </c>
      <c r="H85">
        <f t="shared" si="44"/>
        <v>4</v>
      </c>
      <c r="I85">
        <f t="shared" si="44"/>
        <v>4</v>
      </c>
      <c r="J85">
        <f t="shared" si="50"/>
        <v>4</v>
      </c>
      <c r="K85">
        <f t="shared" si="50"/>
        <v>4</v>
      </c>
      <c r="L85">
        <f t="shared" si="51"/>
        <v>5</v>
      </c>
      <c r="M85">
        <f t="shared" si="52"/>
        <v>3</v>
      </c>
      <c r="P85">
        <f t="shared" si="53"/>
        <v>2.1271008403361349</v>
      </c>
      <c r="Q85">
        <f t="shared" si="54"/>
        <v>2.3027718550106617</v>
      </c>
      <c r="R85">
        <f t="shared" si="55"/>
        <v>2.1588486140724954</v>
      </c>
      <c r="S85">
        <f t="shared" si="56"/>
        <v>1.9189765458422179</v>
      </c>
      <c r="T85">
        <f t="shared" si="57"/>
        <v>1.7990405117270794</v>
      </c>
      <c r="U85">
        <f t="shared" si="58"/>
        <v>1.6191364605543712</v>
      </c>
      <c r="V85">
        <f t="shared" si="59"/>
        <v>1.3285222240446124</v>
      </c>
      <c r="W85">
        <f t="shared" si="60"/>
        <v>1.5653988868274586</v>
      </c>
      <c r="X85">
        <f t="shared" si="46"/>
        <v>1.8526362157766334</v>
      </c>
      <c r="AA85">
        <f t="shared" si="61"/>
        <v>6.3813025210084042</v>
      </c>
      <c r="AB85">
        <f t="shared" si="47"/>
        <v>9.2110874200426469</v>
      </c>
      <c r="AC85">
        <f t="shared" si="47"/>
        <v>8.6353944562899816</v>
      </c>
      <c r="AD85">
        <f t="shared" si="47"/>
        <v>7.6759061833688715</v>
      </c>
      <c r="AE85">
        <f t="shared" si="47"/>
        <v>7.1961620469083174</v>
      </c>
      <c r="AF85">
        <f t="shared" si="47"/>
        <v>6.4765458422174849</v>
      </c>
      <c r="AG85">
        <f t="shared" si="47"/>
        <v>5.3140888961784496</v>
      </c>
      <c r="AH85">
        <f t="shared" si="47"/>
        <v>7.8269944341372932</v>
      </c>
      <c r="AI85">
        <f t="shared" si="47"/>
        <v>5.5579086473299002</v>
      </c>
    </row>
    <row r="86" spans="1:35" x14ac:dyDescent="0.25">
      <c r="A86">
        <f t="shared" si="48"/>
        <v>0.5892857142857143</v>
      </c>
      <c r="B86" s="3">
        <v>99</v>
      </c>
      <c r="C86" s="3">
        <v>168</v>
      </c>
      <c r="E86">
        <f t="shared" si="49"/>
        <v>4</v>
      </c>
      <c r="F86">
        <f t="shared" si="44"/>
        <v>5</v>
      </c>
      <c r="G86">
        <f t="shared" si="44"/>
        <v>5</v>
      </c>
      <c r="H86">
        <f t="shared" si="44"/>
        <v>5</v>
      </c>
      <c r="I86">
        <f t="shared" si="44"/>
        <v>5</v>
      </c>
      <c r="J86">
        <f t="shared" si="50"/>
        <v>5</v>
      </c>
      <c r="K86">
        <f t="shared" si="50"/>
        <v>5</v>
      </c>
      <c r="L86">
        <f t="shared" si="51"/>
        <v>6</v>
      </c>
      <c r="M86">
        <f t="shared" si="52"/>
        <v>4</v>
      </c>
      <c r="P86">
        <f t="shared" si="53"/>
        <v>2.3747334754797444</v>
      </c>
      <c r="Q86">
        <f t="shared" si="54"/>
        <v>2.410714285714286</v>
      </c>
      <c r="R86">
        <f t="shared" si="55"/>
        <v>2.2600446428571432</v>
      </c>
      <c r="S86">
        <f t="shared" si="56"/>
        <v>2.0089285714285716</v>
      </c>
      <c r="T86">
        <f t="shared" si="57"/>
        <v>1.8833705357142863</v>
      </c>
      <c r="U86">
        <f t="shared" si="58"/>
        <v>1.6950334821428574</v>
      </c>
      <c r="V86">
        <f t="shared" si="59"/>
        <v>1.3907967032967037</v>
      </c>
      <c r="W86">
        <f t="shared" si="60"/>
        <v>1.573587127158556</v>
      </c>
      <c r="X86">
        <f t="shared" si="46"/>
        <v>2.0683162528371968</v>
      </c>
      <c r="AA86">
        <f t="shared" si="61"/>
        <v>9.4989339019189778</v>
      </c>
      <c r="AB86">
        <f t="shared" si="47"/>
        <v>12.053571428571431</v>
      </c>
      <c r="AC86">
        <f t="shared" si="47"/>
        <v>11.300223214285715</v>
      </c>
      <c r="AD86">
        <f t="shared" si="47"/>
        <v>10.044642857142858</v>
      </c>
      <c r="AE86">
        <f t="shared" si="47"/>
        <v>9.4168526785714306</v>
      </c>
      <c r="AF86">
        <f t="shared" si="47"/>
        <v>8.4751674107142865</v>
      </c>
      <c r="AG86">
        <f t="shared" si="47"/>
        <v>6.9539835164835182</v>
      </c>
      <c r="AH86">
        <f t="shared" si="47"/>
        <v>9.4415227629513367</v>
      </c>
      <c r="AI86">
        <f t="shared" si="47"/>
        <v>8.2732650113487871</v>
      </c>
    </row>
    <row r="87" spans="1:35" x14ac:dyDescent="0.25">
      <c r="A87">
        <f t="shared" si="48"/>
        <v>0.61764705882352944</v>
      </c>
      <c r="B87" s="3">
        <v>105</v>
      </c>
      <c r="C87" s="3">
        <v>170</v>
      </c>
      <c r="E87">
        <f t="shared" si="49"/>
        <v>4</v>
      </c>
      <c r="F87">
        <f t="shared" si="44"/>
        <v>5</v>
      </c>
      <c r="G87">
        <f t="shared" si="44"/>
        <v>5</v>
      </c>
      <c r="H87">
        <f t="shared" si="44"/>
        <v>5</v>
      </c>
      <c r="I87">
        <f t="shared" si="44"/>
        <v>5</v>
      </c>
      <c r="J87">
        <f t="shared" si="50"/>
        <v>5</v>
      </c>
      <c r="K87">
        <f t="shared" si="50"/>
        <v>5</v>
      </c>
      <c r="L87">
        <f t="shared" si="51"/>
        <v>6</v>
      </c>
      <c r="M87">
        <f t="shared" si="52"/>
        <v>4</v>
      </c>
      <c r="P87">
        <f t="shared" si="53"/>
        <v>2.4890254609306415</v>
      </c>
      <c r="Q87">
        <f t="shared" si="54"/>
        <v>2.5267379679144386</v>
      </c>
      <c r="R87">
        <f t="shared" si="55"/>
        <v>2.3688168449197864</v>
      </c>
      <c r="S87">
        <f t="shared" si="56"/>
        <v>2.1056149732620328</v>
      </c>
      <c r="T87">
        <f t="shared" si="57"/>
        <v>1.9740140374331558</v>
      </c>
      <c r="U87">
        <f t="shared" si="58"/>
        <v>1.7766126336898398</v>
      </c>
      <c r="V87">
        <f t="shared" si="59"/>
        <v>1.457733443027561</v>
      </c>
      <c r="W87">
        <f t="shared" si="60"/>
        <v>1.6493212669683261</v>
      </c>
      <c r="X87">
        <f t="shared" si="46"/>
        <v>2.1678608853266876</v>
      </c>
      <c r="AA87">
        <f t="shared" si="61"/>
        <v>9.9561018437225659</v>
      </c>
      <c r="AB87">
        <f t="shared" si="47"/>
        <v>12.633689839572193</v>
      </c>
      <c r="AC87">
        <f t="shared" si="47"/>
        <v>11.844084224598932</v>
      </c>
      <c r="AD87">
        <f t="shared" si="47"/>
        <v>10.528074866310163</v>
      </c>
      <c r="AE87">
        <f t="shared" si="47"/>
        <v>9.8700701871657799</v>
      </c>
      <c r="AF87">
        <f t="shared" si="47"/>
        <v>8.8830631684491994</v>
      </c>
      <c r="AG87">
        <f t="shared" si="47"/>
        <v>7.2886672151378047</v>
      </c>
      <c r="AH87">
        <f t="shared" si="47"/>
        <v>9.8959276018099569</v>
      </c>
      <c r="AI87">
        <f t="shared" si="47"/>
        <v>8.6714435413067505</v>
      </c>
    </row>
    <row r="88" spans="1:35" x14ac:dyDescent="0.25">
      <c r="A88">
        <f t="shared" si="48"/>
        <v>1.6716417910447761</v>
      </c>
      <c r="B88" s="3">
        <v>112</v>
      </c>
      <c r="C88" s="3">
        <v>67</v>
      </c>
      <c r="E88">
        <f t="shared" si="49"/>
        <v>2</v>
      </c>
      <c r="F88">
        <f t="shared" si="44"/>
        <v>3</v>
      </c>
      <c r="G88">
        <f t="shared" si="44"/>
        <v>3</v>
      </c>
      <c r="H88">
        <f t="shared" si="44"/>
        <v>3</v>
      </c>
      <c r="I88">
        <f t="shared" si="44"/>
        <v>3</v>
      </c>
      <c r="J88">
        <f t="shared" si="50"/>
        <v>3</v>
      </c>
      <c r="K88">
        <f t="shared" si="50"/>
        <v>3</v>
      </c>
      <c r="L88">
        <f t="shared" si="51"/>
        <v>4</v>
      </c>
      <c r="M88">
        <f t="shared" si="52"/>
        <v>2</v>
      </c>
      <c r="P88">
        <f t="shared" si="53"/>
        <v>3.2706035042180406</v>
      </c>
      <c r="Q88">
        <f t="shared" si="54"/>
        <v>3.9824407374890263</v>
      </c>
      <c r="R88">
        <f t="shared" si="55"/>
        <v>3.7335381913959611</v>
      </c>
      <c r="S88">
        <f t="shared" si="56"/>
        <v>3.3187006145741882</v>
      </c>
      <c r="T88">
        <f t="shared" si="57"/>
        <v>3.1112818261633013</v>
      </c>
      <c r="U88">
        <f t="shared" si="58"/>
        <v>2.8001536435469716</v>
      </c>
      <c r="V88">
        <f t="shared" si="59"/>
        <v>2.2975619639359763</v>
      </c>
      <c r="W88">
        <f t="shared" si="60"/>
        <v>2.8870572510581427</v>
      </c>
      <c r="X88">
        <f t="shared" si="46"/>
        <v>2.8485901488350676</v>
      </c>
      <c r="AA88">
        <f t="shared" si="61"/>
        <v>6.5412070084360812</v>
      </c>
      <c r="AB88">
        <f t="shared" si="47"/>
        <v>11.947322212467078</v>
      </c>
      <c r="AC88">
        <f t="shared" si="47"/>
        <v>11.200614574187883</v>
      </c>
      <c r="AD88">
        <f t="shared" si="47"/>
        <v>9.9561018437225641</v>
      </c>
      <c r="AE88">
        <f t="shared" si="47"/>
        <v>9.3338454784899039</v>
      </c>
      <c r="AF88">
        <f t="shared" si="47"/>
        <v>8.4004609306409144</v>
      </c>
      <c r="AG88">
        <f t="shared" si="47"/>
        <v>6.892685891807929</v>
      </c>
      <c r="AH88">
        <f t="shared" si="47"/>
        <v>11.548229004232571</v>
      </c>
      <c r="AI88">
        <f t="shared" si="47"/>
        <v>5.6971802976701351</v>
      </c>
    </row>
    <row r="89" spans="1:35" x14ac:dyDescent="0.25">
      <c r="A89">
        <f t="shared" si="48"/>
        <v>0.78488372093023251</v>
      </c>
      <c r="B89" s="3">
        <v>135</v>
      </c>
      <c r="C89" s="3">
        <v>172</v>
      </c>
      <c r="E89">
        <f t="shared" si="49"/>
        <v>3</v>
      </c>
      <c r="F89">
        <f t="shared" si="44"/>
        <v>4</v>
      </c>
      <c r="G89">
        <f t="shared" si="44"/>
        <v>4</v>
      </c>
      <c r="H89">
        <f t="shared" si="44"/>
        <v>4</v>
      </c>
      <c r="I89">
        <f t="shared" si="44"/>
        <v>4</v>
      </c>
      <c r="J89">
        <f t="shared" si="50"/>
        <v>4</v>
      </c>
      <c r="K89">
        <f t="shared" si="50"/>
        <v>4</v>
      </c>
      <c r="L89">
        <f t="shared" si="51"/>
        <v>5</v>
      </c>
      <c r="M89">
        <f t="shared" si="52"/>
        <v>3</v>
      </c>
      <c r="P89">
        <f t="shared" si="53"/>
        <v>2.3373375512995898</v>
      </c>
      <c r="Q89">
        <f t="shared" si="54"/>
        <v>2.5303713988198551</v>
      </c>
      <c r="R89">
        <f t="shared" si="55"/>
        <v>2.3722231863936138</v>
      </c>
      <c r="S89">
        <f t="shared" si="56"/>
        <v>2.1086428323498785</v>
      </c>
      <c r="T89">
        <f t="shared" si="57"/>
        <v>1.9768526553280112</v>
      </c>
      <c r="U89">
        <f t="shared" si="58"/>
        <v>1.7791673897952101</v>
      </c>
      <c r="V89">
        <f t="shared" si="59"/>
        <v>1.4598296531653008</v>
      </c>
      <c r="W89">
        <f t="shared" si="60"/>
        <v>1.7201185442464515</v>
      </c>
      <c r="X89">
        <f t="shared" si="46"/>
        <v>2.0357456091964168</v>
      </c>
      <c r="AA89">
        <f t="shared" si="61"/>
        <v>7.0120126538987693</v>
      </c>
      <c r="AB89">
        <f t="shared" si="47"/>
        <v>10.12148559527942</v>
      </c>
      <c r="AC89">
        <f t="shared" si="47"/>
        <v>9.4888927455744554</v>
      </c>
      <c r="AD89">
        <f t="shared" si="47"/>
        <v>8.4345713293995139</v>
      </c>
      <c r="AE89">
        <f t="shared" si="47"/>
        <v>7.907410621312045</v>
      </c>
      <c r="AF89">
        <f t="shared" si="47"/>
        <v>7.1166695591808402</v>
      </c>
      <c r="AG89">
        <f t="shared" si="47"/>
        <v>5.8393186126612031</v>
      </c>
      <c r="AH89">
        <f t="shared" si="47"/>
        <v>8.6005927212322568</v>
      </c>
      <c r="AI89">
        <f t="shared" si="47"/>
        <v>6.1072368275892508</v>
      </c>
    </row>
    <row r="90" spans="1:35" x14ac:dyDescent="0.25">
      <c r="A90">
        <f t="shared" si="48"/>
        <v>0.6908212560386473</v>
      </c>
      <c r="B90" s="3">
        <v>143</v>
      </c>
      <c r="C90" s="3">
        <v>207</v>
      </c>
      <c r="E90">
        <f t="shared" si="49"/>
        <v>3</v>
      </c>
      <c r="F90">
        <f t="shared" si="44"/>
        <v>4</v>
      </c>
      <c r="G90">
        <f t="shared" si="44"/>
        <v>4</v>
      </c>
      <c r="H90">
        <f t="shared" si="44"/>
        <v>4</v>
      </c>
      <c r="I90">
        <f t="shared" si="44"/>
        <v>4</v>
      </c>
      <c r="J90">
        <f t="shared" si="50"/>
        <v>4</v>
      </c>
      <c r="K90">
        <f t="shared" si="50"/>
        <v>4</v>
      </c>
      <c r="L90">
        <f t="shared" si="51"/>
        <v>5</v>
      </c>
      <c r="M90">
        <f t="shared" si="52"/>
        <v>3</v>
      </c>
      <c r="P90">
        <f t="shared" si="53"/>
        <v>2.0572250639386191</v>
      </c>
      <c r="Q90">
        <f t="shared" si="54"/>
        <v>2.2271252433484761</v>
      </c>
      <c r="R90">
        <f t="shared" si="55"/>
        <v>2.0879299156391955</v>
      </c>
      <c r="S90">
        <f t="shared" si="56"/>
        <v>1.855937702790396</v>
      </c>
      <c r="T90">
        <f t="shared" si="57"/>
        <v>1.7399415963659963</v>
      </c>
      <c r="U90">
        <f t="shared" si="58"/>
        <v>1.5659474367293968</v>
      </c>
      <c r="V90">
        <f t="shared" si="59"/>
        <v>1.284879948085659</v>
      </c>
      <c r="W90">
        <f t="shared" si="60"/>
        <v>1.5139751552795033</v>
      </c>
      <c r="X90">
        <f t="shared" si="46"/>
        <v>1.7917766685917005</v>
      </c>
      <c r="AA90">
        <f t="shared" si="61"/>
        <v>6.1716751918158579</v>
      </c>
      <c r="AB90">
        <f t="shared" si="47"/>
        <v>8.9085009733939042</v>
      </c>
      <c r="AC90">
        <f t="shared" si="47"/>
        <v>8.351719662556782</v>
      </c>
      <c r="AD90">
        <f t="shared" si="47"/>
        <v>7.4237508111615842</v>
      </c>
      <c r="AE90">
        <f t="shared" si="47"/>
        <v>6.9597663854639853</v>
      </c>
      <c r="AF90">
        <f t="shared" si="47"/>
        <v>6.2637897469175874</v>
      </c>
      <c r="AG90">
        <f t="shared" si="47"/>
        <v>5.1395197923426359</v>
      </c>
      <c r="AH90">
        <f t="shared" si="47"/>
        <v>7.5698757763975166</v>
      </c>
      <c r="AI90">
        <f t="shared" si="47"/>
        <v>5.3753300057751012</v>
      </c>
    </row>
    <row r="91" spans="1:35" x14ac:dyDescent="0.25">
      <c r="A91">
        <f t="shared" si="48"/>
        <v>0.70731707317073167</v>
      </c>
      <c r="B91" s="3">
        <v>145</v>
      </c>
      <c r="C91" s="3">
        <v>205</v>
      </c>
      <c r="E91">
        <f t="shared" si="49"/>
        <v>3</v>
      </c>
      <c r="F91">
        <f t="shared" si="44"/>
        <v>4</v>
      </c>
      <c r="G91">
        <f t="shared" si="44"/>
        <v>4</v>
      </c>
      <c r="H91">
        <f t="shared" si="44"/>
        <v>4</v>
      </c>
      <c r="I91">
        <f t="shared" si="44"/>
        <v>4</v>
      </c>
      <c r="J91">
        <f t="shared" si="50"/>
        <v>4</v>
      </c>
      <c r="K91">
        <f t="shared" si="50"/>
        <v>4</v>
      </c>
      <c r="L91">
        <f t="shared" si="51"/>
        <v>5</v>
      </c>
      <c r="M91">
        <f t="shared" si="52"/>
        <v>3</v>
      </c>
      <c r="P91">
        <f t="shared" si="53"/>
        <v>2.1063486370157825</v>
      </c>
      <c r="Q91">
        <f t="shared" si="54"/>
        <v>2.2803057881325088</v>
      </c>
      <c r="R91">
        <f t="shared" si="55"/>
        <v>2.137786676374227</v>
      </c>
      <c r="S91">
        <f t="shared" si="56"/>
        <v>1.9002548234437573</v>
      </c>
      <c r="T91">
        <f t="shared" si="57"/>
        <v>1.7814888969785223</v>
      </c>
      <c r="U91">
        <f t="shared" si="58"/>
        <v>1.6033400072806701</v>
      </c>
      <c r="V91">
        <f t="shared" si="59"/>
        <v>1.3155610316149091</v>
      </c>
      <c r="W91">
        <f t="shared" si="60"/>
        <v>1.5501267025657273</v>
      </c>
      <c r="X91">
        <f t="shared" si="46"/>
        <v>1.8345617161105199</v>
      </c>
      <c r="AA91">
        <f t="shared" si="61"/>
        <v>6.3190459110473469</v>
      </c>
      <c r="AB91">
        <f t="shared" si="47"/>
        <v>9.1212231525300353</v>
      </c>
      <c r="AC91">
        <f t="shared" si="47"/>
        <v>8.5511467054969081</v>
      </c>
      <c r="AD91">
        <f t="shared" si="47"/>
        <v>7.6010192937750292</v>
      </c>
      <c r="AE91">
        <f t="shared" si="47"/>
        <v>7.1259555879140892</v>
      </c>
      <c r="AF91">
        <f t="shared" si="47"/>
        <v>6.4133600291226802</v>
      </c>
      <c r="AG91">
        <f t="shared" si="47"/>
        <v>5.2622441264596365</v>
      </c>
      <c r="AH91">
        <f t="shared" si="47"/>
        <v>7.7506335128286361</v>
      </c>
      <c r="AI91">
        <f t="shared" si="47"/>
        <v>5.5036851483315594</v>
      </c>
    </row>
    <row r="92" spans="1:35" x14ac:dyDescent="0.25">
      <c r="A92">
        <f t="shared" si="48"/>
        <v>0.71470588235294119</v>
      </c>
      <c r="B92" s="3">
        <v>243</v>
      </c>
      <c r="C92" s="3">
        <v>340</v>
      </c>
      <c r="E92">
        <f t="shared" si="49"/>
        <v>3</v>
      </c>
      <c r="F92">
        <f t="shared" si="44"/>
        <v>4</v>
      </c>
      <c r="G92">
        <f t="shared" si="44"/>
        <v>4</v>
      </c>
      <c r="H92">
        <f t="shared" si="44"/>
        <v>4</v>
      </c>
      <c r="I92">
        <f t="shared" si="44"/>
        <v>4</v>
      </c>
      <c r="J92">
        <f t="shared" si="50"/>
        <v>4</v>
      </c>
      <c r="K92">
        <f t="shared" si="50"/>
        <v>4</v>
      </c>
      <c r="L92">
        <f t="shared" si="51"/>
        <v>5</v>
      </c>
      <c r="M92">
        <f t="shared" si="52"/>
        <v>3</v>
      </c>
      <c r="P92">
        <f t="shared" si="53"/>
        <v>2.1283520761245676</v>
      </c>
      <c r="Q92">
        <f t="shared" si="54"/>
        <v>2.3041264266900794</v>
      </c>
      <c r="R92">
        <f t="shared" si="55"/>
        <v>2.1601185250219497</v>
      </c>
      <c r="S92">
        <f t="shared" si="56"/>
        <v>1.920105355575066</v>
      </c>
      <c r="T92">
        <f t="shared" si="57"/>
        <v>1.8000987708516245</v>
      </c>
      <c r="U92">
        <f t="shared" si="58"/>
        <v>1.6200888937664619</v>
      </c>
      <c r="V92">
        <f t="shared" si="59"/>
        <v>1.329303707705815</v>
      </c>
      <c r="W92">
        <f t="shared" si="60"/>
        <v>1.5663197097020631</v>
      </c>
      <c r="X92">
        <f t="shared" si="46"/>
        <v>1.8537260017859136</v>
      </c>
      <c r="AA92">
        <f t="shared" si="61"/>
        <v>6.3850562283737027</v>
      </c>
      <c r="AB92">
        <f t="shared" si="47"/>
        <v>9.2165057067603176</v>
      </c>
      <c r="AC92">
        <f t="shared" si="47"/>
        <v>8.6404741000877987</v>
      </c>
      <c r="AD92">
        <f t="shared" si="47"/>
        <v>7.680421422300264</v>
      </c>
      <c r="AE92">
        <f t="shared" si="47"/>
        <v>7.200395083406498</v>
      </c>
      <c r="AF92">
        <f t="shared" si="47"/>
        <v>6.4803555750658477</v>
      </c>
      <c r="AG92">
        <f t="shared" si="47"/>
        <v>5.3172148308232599</v>
      </c>
      <c r="AH92">
        <f t="shared" si="47"/>
        <v>7.8315985485103159</v>
      </c>
      <c r="AI92">
        <f t="shared" si="47"/>
        <v>5.5611780053577409</v>
      </c>
    </row>
    <row r="93" spans="1:35" x14ac:dyDescent="0.25">
      <c r="A93">
        <f t="shared" si="48"/>
        <v>1.1222707423580787</v>
      </c>
      <c r="B93" s="3">
        <v>257</v>
      </c>
      <c r="C93" s="3">
        <v>229</v>
      </c>
      <c r="E93">
        <f t="shared" si="49"/>
        <v>2</v>
      </c>
      <c r="F93">
        <f t="shared" si="44"/>
        <v>3</v>
      </c>
      <c r="G93">
        <f t="shared" si="44"/>
        <v>3</v>
      </c>
      <c r="H93">
        <f t="shared" si="44"/>
        <v>3</v>
      </c>
      <c r="I93">
        <f t="shared" si="44"/>
        <v>3</v>
      </c>
      <c r="J93">
        <f t="shared" si="50"/>
        <v>3</v>
      </c>
      <c r="K93">
        <f t="shared" si="50"/>
        <v>3</v>
      </c>
      <c r="L93">
        <f t="shared" si="51"/>
        <v>4</v>
      </c>
      <c r="M93">
        <f t="shared" si="52"/>
        <v>2</v>
      </c>
      <c r="P93">
        <f t="shared" si="53"/>
        <v>2.1957471046136323</v>
      </c>
      <c r="Q93">
        <f t="shared" si="54"/>
        <v>2.6736450038530695</v>
      </c>
      <c r="R93">
        <f t="shared" si="55"/>
        <v>2.5065421911122532</v>
      </c>
      <c r="S93">
        <f t="shared" si="56"/>
        <v>2.2280375032108917</v>
      </c>
      <c r="T93">
        <f t="shared" si="57"/>
        <v>2.0887851592602105</v>
      </c>
      <c r="U93">
        <f t="shared" si="58"/>
        <v>1.8799066433341898</v>
      </c>
      <c r="V93">
        <f t="shared" si="59"/>
        <v>1.542487502222925</v>
      </c>
      <c r="W93">
        <f t="shared" si="60"/>
        <v>1.9382501094030784</v>
      </c>
      <c r="X93">
        <f t="shared" si="46"/>
        <v>1.912424897566712</v>
      </c>
      <c r="AA93">
        <f t="shared" si="61"/>
        <v>4.3914942092272646</v>
      </c>
      <c r="AB93">
        <f t="shared" si="47"/>
        <v>8.0209350115592084</v>
      </c>
      <c r="AC93">
        <f t="shared" si="47"/>
        <v>7.51962657333676</v>
      </c>
      <c r="AD93">
        <f t="shared" si="47"/>
        <v>6.6841125096326746</v>
      </c>
      <c r="AE93">
        <f t="shared" si="47"/>
        <v>6.2663554777806318</v>
      </c>
      <c r="AF93">
        <f t="shared" si="47"/>
        <v>5.6397199300025695</v>
      </c>
      <c r="AG93">
        <f t="shared" si="47"/>
        <v>4.6274625066687749</v>
      </c>
      <c r="AH93">
        <f t="shared" si="47"/>
        <v>7.7530004376123136</v>
      </c>
      <c r="AI93">
        <f t="shared" si="47"/>
        <v>3.8248497951334239</v>
      </c>
    </row>
    <row r="94" spans="1:35" x14ac:dyDescent="0.25">
      <c r="A94">
        <f t="shared" si="48"/>
        <v>0.85550458715596334</v>
      </c>
      <c r="B94" s="3">
        <v>373</v>
      </c>
      <c r="C94" s="3">
        <v>436</v>
      </c>
      <c r="E94">
        <f t="shared" si="49"/>
        <v>3</v>
      </c>
      <c r="F94">
        <f t="shared" si="44"/>
        <v>4</v>
      </c>
      <c r="G94">
        <f t="shared" si="44"/>
        <v>4</v>
      </c>
      <c r="H94">
        <f t="shared" si="44"/>
        <v>4</v>
      </c>
      <c r="I94">
        <f t="shared" si="44"/>
        <v>4</v>
      </c>
      <c r="J94">
        <f t="shared" si="50"/>
        <v>4</v>
      </c>
      <c r="K94">
        <f t="shared" si="50"/>
        <v>4</v>
      </c>
      <c r="L94">
        <f t="shared" si="51"/>
        <v>5</v>
      </c>
      <c r="M94">
        <f t="shared" si="52"/>
        <v>3</v>
      </c>
      <c r="P94">
        <f t="shared" si="53"/>
        <v>2.5476423367512147</v>
      </c>
      <c r="Q94">
        <f t="shared" si="54"/>
        <v>2.7580446391893751</v>
      </c>
      <c r="R94">
        <f t="shared" si="55"/>
        <v>2.5856668492400394</v>
      </c>
      <c r="S94">
        <f t="shared" si="56"/>
        <v>2.2983705326578123</v>
      </c>
      <c r="T94">
        <f t="shared" si="57"/>
        <v>2.154722374366699</v>
      </c>
      <c r="U94">
        <f t="shared" si="58"/>
        <v>1.9392501369300292</v>
      </c>
      <c r="V94">
        <f t="shared" si="59"/>
        <v>1.5911795995323319</v>
      </c>
      <c r="W94">
        <f t="shared" si="60"/>
        <v>1.8748882997736214</v>
      </c>
      <c r="X94">
        <f t="shared" si="46"/>
        <v>2.218914293299445</v>
      </c>
      <c r="AA94">
        <f t="shared" si="61"/>
        <v>7.6429270102536435</v>
      </c>
      <c r="AB94">
        <f t="shared" si="47"/>
        <v>11.032178556757501</v>
      </c>
      <c r="AC94">
        <f t="shared" si="47"/>
        <v>10.342667396960158</v>
      </c>
      <c r="AD94">
        <f t="shared" si="47"/>
        <v>9.1934821306312493</v>
      </c>
      <c r="AE94">
        <f t="shared" si="47"/>
        <v>8.618889497466796</v>
      </c>
      <c r="AF94">
        <f t="shared" si="47"/>
        <v>7.7570005477201169</v>
      </c>
      <c r="AG94">
        <f t="shared" si="47"/>
        <v>6.3647183981293276</v>
      </c>
      <c r="AH94">
        <f t="shared" si="47"/>
        <v>9.3744414988681068</v>
      </c>
      <c r="AI94">
        <f t="shared" si="47"/>
        <v>6.656742879898335</v>
      </c>
    </row>
    <row r="95" spans="1:35" x14ac:dyDescent="0.25">
      <c r="A95">
        <f t="shared" si="48"/>
        <v>0.52222222222222225</v>
      </c>
      <c r="B95" s="3">
        <v>752</v>
      </c>
      <c r="C95" s="3">
        <v>1440</v>
      </c>
      <c r="E95">
        <f t="shared" si="49"/>
        <v>4</v>
      </c>
      <c r="F95">
        <f t="shared" ref="F95:I95" si="62">IF($A95&gt;1, 3, IF($A95&lt;0.666, 5, 4))</f>
        <v>5</v>
      </c>
      <c r="G95">
        <f t="shared" si="62"/>
        <v>5</v>
      </c>
      <c r="H95">
        <f t="shared" si="62"/>
        <v>5</v>
      </c>
      <c r="I95">
        <f t="shared" si="62"/>
        <v>5</v>
      </c>
      <c r="J95">
        <f t="shared" si="50"/>
        <v>5</v>
      </c>
      <c r="K95">
        <f t="shared" si="50"/>
        <v>5</v>
      </c>
      <c r="L95">
        <f t="shared" si="51"/>
        <v>6</v>
      </c>
      <c r="M95">
        <f t="shared" si="52"/>
        <v>4</v>
      </c>
      <c r="P95">
        <f t="shared" si="53"/>
        <v>2.1044776119402986</v>
      </c>
      <c r="Q95">
        <f t="shared" si="54"/>
        <v>2.1363636363636367</v>
      </c>
      <c r="R95">
        <f t="shared" si="55"/>
        <v>2.0028409090909092</v>
      </c>
      <c r="S95">
        <f t="shared" si="56"/>
        <v>1.7803030303030307</v>
      </c>
      <c r="T95">
        <f t="shared" si="57"/>
        <v>1.6690340909090913</v>
      </c>
      <c r="U95">
        <f t="shared" si="58"/>
        <v>1.5021306818181819</v>
      </c>
      <c r="V95">
        <f t="shared" si="59"/>
        <v>1.2325174825174829</v>
      </c>
      <c r="W95">
        <f t="shared" si="60"/>
        <v>1.3945054945054949</v>
      </c>
      <c r="X95">
        <f t="shared" si="60"/>
        <v>1.8329321136254213</v>
      </c>
      <c r="AA95">
        <f t="shared" si="61"/>
        <v>8.4179104477611943</v>
      </c>
      <c r="AB95">
        <f t="shared" ref="AB95" si="63">Q95*F95</f>
        <v>10.681818181818183</v>
      </c>
      <c r="AC95">
        <f t="shared" ref="AC95" si="64">R95*G95</f>
        <v>10.014204545454547</v>
      </c>
      <c r="AD95">
        <f t="shared" ref="AD95" si="65">S95*H95</f>
        <v>8.901515151515154</v>
      </c>
      <c r="AE95">
        <f t="shared" ref="AE95" si="66">T95*I95</f>
        <v>8.3451704545454568</v>
      </c>
      <c r="AF95">
        <f t="shared" ref="AF95" si="67">U95*J95</f>
        <v>7.5106534090909092</v>
      </c>
      <c r="AG95">
        <f t="shared" ref="AG95" si="68">V95*K95</f>
        <v>6.1625874125874152</v>
      </c>
      <c r="AH95">
        <f t="shared" ref="AH95:AI95" si="69">W95*L95</f>
        <v>8.3670329670329693</v>
      </c>
      <c r="AI95">
        <f t="shared" si="69"/>
        <v>7.3317284545016852</v>
      </c>
    </row>
    <row r="101" spans="1:23" x14ac:dyDescent="0.25">
      <c r="E101" s="1" t="s">
        <v>24</v>
      </c>
      <c r="F101" s="2"/>
      <c r="G101" s="2"/>
      <c r="H101" s="2"/>
      <c r="I101" s="2"/>
      <c r="J101" s="2"/>
      <c r="N101" s="2" t="s">
        <v>2</v>
      </c>
      <c r="O101" s="2" t="s">
        <v>0</v>
      </c>
      <c r="P101">
        <v>0.7</v>
      </c>
    </row>
    <row r="102" spans="1:23" x14ac:dyDescent="0.25">
      <c r="E102" s="1" t="s">
        <v>3</v>
      </c>
      <c r="F102" s="2"/>
      <c r="G102" s="2"/>
      <c r="H102" s="2"/>
      <c r="I102" s="2"/>
      <c r="J102" s="2"/>
      <c r="N102" s="2"/>
      <c r="O102" s="2" t="s">
        <v>1</v>
      </c>
      <c r="P102">
        <v>0.67500000000000004</v>
      </c>
    </row>
    <row r="103" spans="1:23" x14ac:dyDescent="0.25">
      <c r="E103" s="3">
        <v>1</v>
      </c>
      <c r="F103" s="3">
        <v>5</v>
      </c>
      <c r="G103" s="3">
        <v>4</v>
      </c>
      <c r="H103" s="3">
        <v>3</v>
      </c>
      <c r="I103" s="3">
        <v>16</v>
      </c>
      <c r="J103" s="3">
        <v>16</v>
      </c>
      <c r="K103" s="3">
        <v>19.5</v>
      </c>
      <c r="L103" s="3">
        <v>21</v>
      </c>
      <c r="M103" s="3">
        <v>8</v>
      </c>
      <c r="O103" s="3">
        <v>1</v>
      </c>
      <c r="P103" s="3">
        <v>5</v>
      </c>
      <c r="Q103" s="3">
        <v>4</v>
      </c>
      <c r="R103" s="3">
        <v>3</v>
      </c>
      <c r="S103" s="3">
        <v>16</v>
      </c>
      <c r="T103" s="3">
        <v>16</v>
      </c>
      <c r="U103" s="3">
        <v>19.5</v>
      </c>
      <c r="V103" s="3">
        <v>21</v>
      </c>
      <c r="W103" s="3">
        <v>8</v>
      </c>
    </row>
    <row r="104" spans="1:23" x14ac:dyDescent="0.25">
      <c r="E104" s="3">
        <v>1</v>
      </c>
      <c r="F104" s="3">
        <v>4</v>
      </c>
      <c r="G104" s="3">
        <v>3</v>
      </c>
      <c r="H104" s="3">
        <v>2</v>
      </c>
      <c r="I104" s="3">
        <v>10</v>
      </c>
      <c r="J104" s="3">
        <v>9</v>
      </c>
      <c r="K104" s="3">
        <v>9</v>
      </c>
      <c r="L104" s="3">
        <v>9</v>
      </c>
      <c r="M104" s="3">
        <v>7</v>
      </c>
      <c r="O104" s="3">
        <v>1</v>
      </c>
      <c r="P104" s="3">
        <v>4</v>
      </c>
      <c r="Q104" s="3">
        <v>3</v>
      </c>
      <c r="R104" s="3">
        <v>2</v>
      </c>
      <c r="S104" s="3">
        <v>10</v>
      </c>
      <c r="T104" s="3">
        <v>9</v>
      </c>
      <c r="U104" s="3">
        <v>9</v>
      </c>
      <c r="V104" s="3">
        <v>9</v>
      </c>
      <c r="W104" s="3">
        <v>7</v>
      </c>
    </row>
    <row r="105" spans="1:23" x14ac:dyDescent="0.25">
      <c r="D105" s="3" t="s">
        <v>0</v>
      </c>
      <c r="E105" s="3">
        <v>720</v>
      </c>
      <c r="F105" s="3">
        <v>900</v>
      </c>
      <c r="G105" s="3">
        <v>960</v>
      </c>
      <c r="H105" s="3">
        <v>1080</v>
      </c>
      <c r="I105" s="3">
        <v>1152</v>
      </c>
      <c r="J105" s="3">
        <v>1280</v>
      </c>
      <c r="K105" s="3">
        <v>1560</v>
      </c>
      <c r="L105" s="3">
        <v>1680</v>
      </c>
      <c r="M105">
        <v>1240</v>
      </c>
    </row>
    <row r="106" spans="1:23" x14ac:dyDescent="0.25">
      <c r="B106" s="2" t="s">
        <v>0</v>
      </c>
      <c r="C106" s="2" t="s">
        <v>1</v>
      </c>
      <c r="D106" s="3" t="s">
        <v>1</v>
      </c>
      <c r="E106" s="3">
        <v>720</v>
      </c>
      <c r="F106" s="3">
        <v>720</v>
      </c>
      <c r="G106" s="3">
        <v>720</v>
      </c>
      <c r="H106" s="3">
        <v>720</v>
      </c>
      <c r="I106" s="3">
        <v>720</v>
      </c>
      <c r="J106" s="3">
        <v>720</v>
      </c>
      <c r="K106" s="3">
        <v>720</v>
      </c>
      <c r="L106" s="3">
        <v>720</v>
      </c>
      <c r="M106" s="3">
        <v>1080</v>
      </c>
      <c r="O106" s="5" t="str">
        <f>O6</f>
        <v>752-1440</v>
      </c>
      <c r="P106" t="s">
        <v>16</v>
      </c>
    </row>
    <row r="107" spans="1:23" x14ac:dyDescent="0.25">
      <c r="A107">
        <f>B107/C107</f>
        <v>1</v>
      </c>
      <c r="B107" s="3">
        <v>1</v>
      </c>
      <c r="C107" s="3">
        <v>1</v>
      </c>
      <c r="E107">
        <f>(0.7-((E179-1)*$K$1))/(E179)</f>
        <v>0.16749999999999998</v>
      </c>
      <c r="F107">
        <f t="shared" ref="F107:M107" si="70">(0.7-((F179-1)*$K$1))/(F179)</f>
        <v>0.13199999999999998</v>
      </c>
      <c r="G107">
        <f t="shared" si="70"/>
        <v>0.13199999999999998</v>
      </c>
      <c r="H107">
        <f t="shared" si="70"/>
        <v>0.13199999999999998</v>
      </c>
      <c r="I107">
        <f t="shared" si="70"/>
        <v>0.13199999999999998</v>
      </c>
      <c r="J107">
        <f t="shared" si="70"/>
        <v>0.13199999999999998</v>
      </c>
      <c r="K107">
        <f t="shared" si="70"/>
        <v>0.13199999999999998</v>
      </c>
      <c r="L107">
        <f t="shared" si="70"/>
        <v>0.10833333333333332</v>
      </c>
      <c r="M107">
        <f t="shared" si="70"/>
        <v>0.16749999999999998</v>
      </c>
      <c r="O107" t="str">
        <f ca="1">"&lt;gridItemSize&gt;"&amp;ROUNDDOWN((OFFSET(E$107,(MATCH($O$106,$AG$3:$AG$19,0)-1),0)),5)&amp;" "&amp;ROUNDDOWN((OFFSET(E$131,(MATCH($O$106,$AG$3:$AG$19,0)-1),0)),5)&amp;"&lt;/gridItemSize&gt;"</f>
        <v>&lt;gridItemSize&gt;0.132 0.25276&lt;/gridItemSize&gt;</v>
      </c>
      <c r="P107" t="str">
        <f t="shared" ref="P107:W107" ca="1" si="71">"&lt;gridItemSize&gt;"&amp;ROUNDDOWN((OFFSET(F$107,(MATCH($O$106,$AG$3:$AG$19,0)-1),0)),5)&amp;" "&amp;ROUNDDOWN((OFFSET(F$131,(MATCH($O$106,$AG$3:$AG$19,0)-1),0)),5)&amp;"&lt;/gridItemSize&gt;"</f>
        <v>&lt;gridItemSize&gt;0.10833 0.2593&lt;/gridItemSize&gt;</v>
      </c>
      <c r="Q107" t="str">
        <f t="shared" ca="1" si="71"/>
        <v>&lt;gridItemSize&gt;0.10833 0.27659&lt;/gridItemSize&gt;</v>
      </c>
      <c r="R107" t="str">
        <f t="shared" ca="1" si="71"/>
        <v>&lt;gridItemSize&gt;0.10833 0.31117&lt;/gridItemSize&gt;</v>
      </c>
      <c r="S107" t="str">
        <f t="shared" ca="1" si="71"/>
        <v>&lt;gridItemSize&gt;0.10833 0.33191&lt;/gridItemSize&gt;</v>
      </c>
      <c r="T107" t="str">
        <f t="shared" ca="1" si="71"/>
        <v>&lt;gridItemSize&gt;0.10833 0.36879&lt;/gridItemSize&gt;</v>
      </c>
      <c r="U107" t="str">
        <f t="shared" ca="1" si="71"/>
        <v>&lt;gridItemSize&gt;0.10833 0.44946&lt;/gridItemSize&gt;</v>
      </c>
      <c r="V107" t="str">
        <f t="shared" ca="1" si="71"/>
        <v>&lt;gridItemSize&gt;0.09142 0.40851&lt;/gridItemSize&gt;</v>
      </c>
      <c r="W107" t="str">
        <f t="shared" ca="1" si="71"/>
        <v>&lt;gridItemSize&gt;0.132 0.29021&lt;/gridItemSize&gt;</v>
      </c>
    </row>
    <row r="108" spans="1:23" x14ac:dyDescent="0.25">
      <c r="A108">
        <f t="shared" ref="A108:A123" si="72">B108/C108</f>
        <v>0.5</v>
      </c>
      <c r="B108" s="3">
        <v>1</v>
      </c>
      <c r="C108" s="3">
        <v>2</v>
      </c>
      <c r="E108">
        <f t="shared" ref="E108:M108" si="73">(0.7-((E180-1)*$K$1))/(E180)</f>
        <v>0.13199999999999998</v>
      </c>
      <c r="F108">
        <f t="shared" si="73"/>
        <v>0.10833333333333332</v>
      </c>
      <c r="G108">
        <f t="shared" si="73"/>
        <v>0.10833333333333332</v>
      </c>
      <c r="H108">
        <f t="shared" si="73"/>
        <v>0.10833333333333332</v>
      </c>
      <c r="I108">
        <f t="shared" si="73"/>
        <v>0.10833333333333332</v>
      </c>
      <c r="J108">
        <f t="shared" si="73"/>
        <v>0.10833333333333332</v>
      </c>
      <c r="K108">
        <f t="shared" si="73"/>
        <v>0.10833333333333332</v>
      </c>
      <c r="L108">
        <f t="shared" si="73"/>
        <v>9.1428571428571415E-2</v>
      </c>
      <c r="M108">
        <f t="shared" si="73"/>
        <v>0.13199999999999998</v>
      </c>
      <c r="O108" t="str">
        <f ca="1">"&lt;gridItemSpacing&gt;"&amp;$K$1&amp;" "&amp;ROUNDDOWN((OFFSET(E$155,(MATCH($O$106,$AG$3:$AG$19,0)-1),0)),5)&amp;"&lt;/gridItemSpacing&gt;"</f>
        <v>&lt;gridItemSpacing&gt;0.01 0.01&lt;/gridItemSpacing&gt;</v>
      </c>
      <c r="P108" t="str">
        <f t="shared" ref="P108:W108" ca="1" si="74">"&lt;gridItemSpacing&gt;"&amp;$K$1&amp;" "&amp;ROUNDDOWN((OFFSET(F$155,(MATCH($O$106,$AG$3:$AG$19,0)-1),0)),5)&amp;"&lt;/gridItemSpacing&gt;"</f>
        <v>&lt;gridItemSpacing&gt;0.01 0.0125&lt;/gridItemSpacing&gt;</v>
      </c>
      <c r="Q108" t="str">
        <f t="shared" ca="1" si="74"/>
        <v>&lt;gridItemSpacing&gt;0.01 0.01333&lt;/gridItemSpacing&gt;</v>
      </c>
      <c r="R108" t="str">
        <f t="shared" ca="1" si="74"/>
        <v>&lt;gridItemSpacing&gt;0.01 0.015&lt;/gridItemSpacing&gt;</v>
      </c>
      <c r="S108" t="str">
        <f t="shared" ca="1" si="74"/>
        <v>&lt;gridItemSpacing&gt;0.01 0.016&lt;/gridItemSpacing&gt;</v>
      </c>
      <c r="T108" t="str">
        <f t="shared" ca="1" si="74"/>
        <v>&lt;gridItemSpacing&gt;0.01 0.01777&lt;/gridItemSpacing&gt;</v>
      </c>
      <c r="U108" t="str">
        <f t="shared" ca="1" si="74"/>
        <v>&lt;gridItemSpacing&gt;0.01 0.02166&lt;/gridItemSpacing&gt;</v>
      </c>
      <c r="V108" t="str">
        <f t="shared" ca="1" si="74"/>
        <v>&lt;gridItemSpacing&gt;0.01 0.02333&lt;/gridItemSpacing&gt;</v>
      </c>
      <c r="W108" t="str">
        <f t="shared" ca="1" si="74"/>
        <v>&lt;gridItemSpacing&gt;0.01 0.01148&lt;/gridItemSpacing&gt;</v>
      </c>
    </row>
    <row r="109" spans="1:23" x14ac:dyDescent="0.25">
      <c r="A109">
        <f t="shared" si="72"/>
        <v>0.66666666666666663</v>
      </c>
      <c r="B109" s="3">
        <v>2</v>
      </c>
      <c r="C109" s="3">
        <v>3</v>
      </c>
      <c r="E109">
        <f t="shared" ref="E109:M109" si="75">(0.7-((E181-1)*$K$1))/(E181)</f>
        <v>0.16749999999999998</v>
      </c>
      <c r="F109">
        <f t="shared" si="75"/>
        <v>0.13199999999999998</v>
      </c>
      <c r="G109">
        <f t="shared" si="75"/>
        <v>0.13199999999999998</v>
      </c>
      <c r="H109">
        <f t="shared" si="75"/>
        <v>0.13199999999999998</v>
      </c>
      <c r="I109">
        <f t="shared" si="75"/>
        <v>0.13199999999999998</v>
      </c>
      <c r="J109">
        <f t="shared" si="75"/>
        <v>0.13199999999999998</v>
      </c>
      <c r="K109">
        <f t="shared" si="75"/>
        <v>0.13199999999999998</v>
      </c>
      <c r="L109">
        <f t="shared" si="75"/>
        <v>0.10833333333333332</v>
      </c>
      <c r="M109">
        <f t="shared" si="75"/>
        <v>0.16749999999999998</v>
      </c>
    </row>
    <row r="110" spans="1:23" x14ac:dyDescent="0.25">
      <c r="A110">
        <f t="shared" si="72"/>
        <v>0.75</v>
      </c>
      <c r="B110" s="3">
        <v>3</v>
      </c>
      <c r="C110" s="3">
        <v>4</v>
      </c>
      <c r="E110">
        <f t="shared" ref="E110:M110" si="76">(0.7-((E182-1)*$K$1))/(E182)</f>
        <v>0.16749999999999998</v>
      </c>
      <c r="F110">
        <f t="shared" si="76"/>
        <v>0.13199999999999998</v>
      </c>
      <c r="G110">
        <f t="shared" si="76"/>
        <v>0.13199999999999998</v>
      </c>
      <c r="H110">
        <f t="shared" si="76"/>
        <v>0.13199999999999998</v>
      </c>
      <c r="I110">
        <f t="shared" si="76"/>
        <v>0.13199999999999998</v>
      </c>
      <c r="J110">
        <f t="shared" si="76"/>
        <v>0.13199999999999998</v>
      </c>
      <c r="K110">
        <f t="shared" si="76"/>
        <v>0.13199999999999998</v>
      </c>
      <c r="L110">
        <f t="shared" si="76"/>
        <v>0.10833333333333332</v>
      </c>
      <c r="M110">
        <f t="shared" si="76"/>
        <v>0.16749999999999998</v>
      </c>
    </row>
    <row r="111" spans="1:23" x14ac:dyDescent="0.25">
      <c r="A111">
        <f t="shared" si="72"/>
        <v>0.6</v>
      </c>
      <c r="B111" s="3">
        <v>3</v>
      </c>
      <c r="C111" s="3">
        <v>5</v>
      </c>
      <c r="E111">
        <f t="shared" ref="E111:M111" si="77">(0.7-((E183-1)*$K$1))/(E183)</f>
        <v>0.13199999999999998</v>
      </c>
      <c r="F111">
        <f t="shared" si="77"/>
        <v>0.10833333333333332</v>
      </c>
      <c r="G111">
        <f t="shared" si="77"/>
        <v>0.10833333333333332</v>
      </c>
      <c r="H111">
        <f t="shared" si="77"/>
        <v>0.10833333333333332</v>
      </c>
      <c r="I111">
        <f t="shared" si="77"/>
        <v>0.10833333333333332</v>
      </c>
      <c r="J111">
        <f t="shared" si="77"/>
        <v>0.10833333333333332</v>
      </c>
      <c r="K111">
        <f t="shared" si="77"/>
        <v>0.10833333333333332</v>
      </c>
      <c r="L111">
        <f t="shared" si="77"/>
        <v>9.1428571428571415E-2</v>
      </c>
      <c r="M111">
        <f t="shared" si="77"/>
        <v>0.13199999999999998</v>
      </c>
      <c r="O111" s="4"/>
      <c r="P111" s="4"/>
      <c r="Q111" s="4"/>
      <c r="R111" s="4"/>
      <c r="S111" s="4"/>
      <c r="T111" s="4"/>
      <c r="U111" s="4"/>
      <c r="V111" s="4"/>
    </row>
    <row r="112" spans="1:23" x14ac:dyDescent="0.25">
      <c r="A112">
        <f t="shared" si="72"/>
        <v>1.3333333333333333</v>
      </c>
      <c r="B112" s="3">
        <v>4</v>
      </c>
      <c r="C112" s="3">
        <v>3</v>
      </c>
      <c r="E112">
        <f t="shared" ref="E112:M112" si="78">(0.7-((E184-1)*$K$1))/(E184)</f>
        <v>0.22666666666666666</v>
      </c>
      <c r="F112">
        <f t="shared" si="78"/>
        <v>0.16749999999999998</v>
      </c>
      <c r="G112">
        <f t="shared" si="78"/>
        <v>0.16749999999999998</v>
      </c>
      <c r="H112">
        <f t="shared" si="78"/>
        <v>0.16749999999999998</v>
      </c>
      <c r="I112">
        <f t="shared" si="78"/>
        <v>0.16749999999999998</v>
      </c>
      <c r="J112">
        <f t="shared" si="78"/>
        <v>0.16749999999999998</v>
      </c>
      <c r="K112">
        <f t="shared" si="78"/>
        <v>0.16749999999999998</v>
      </c>
      <c r="L112">
        <f t="shared" si="78"/>
        <v>0.13199999999999998</v>
      </c>
      <c r="M112">
        <f t="shared" si="78"/>
        <v>0.22666666666666666</v>
      </c>
    </row>
    <row r="113" spans="1:23" x14ac:dyDescent="0.25">
      <c r="A113">
        <f t="shared" si="72"/>
        <v>0.7142857142857143</v>
      </c>
      <c r="B113" s="3">
        <v>5</v>
      </c>
      <c r="C113" s="3">
        <v>7</v>
      </c>
      <c r="E113">
        <f t="shared" ref="E113:M113" si="79">(0.7-((E185-1)*$K$1))/(E185)</f>
        <v>0.16749999999999998</v>
      </c>
      <c r="F113">
        <f t="shared" si="79"/>
        <v>0.13199999999999998</v>
      </c>
      <c r="G113">
        <f t="shared" si="79"/>
        <v>0.13199999999999998</v>
      </c>
      <c r="H113">
        <f t="shared" si="79"/>
        <v>0.13199999999999998</v>
      </c>
      <c r="I113">
        <f t="shared" si="79"/>
        <v>0.13199999999999998</v>
      </c>
      <c r="J113">
        <f t="shared" si="79"/>
        <v>0.13199999999999998</v>
      </c>
      <c r="K113">
        <f t="shared" si="79"/>
        <v>0.13199999999999998</v>
      </c>
      <c r="L113">
        <f t="shared" si="79"/>
        <v>0.10833333333333332</v>
      </c>
      <c r="M113">
        <f t="shared" si="79"/>
        <v>0.16749999999999998</v>
      </c>
    </row>
    <row r="114" spans="1:23" x14ac:dyDescent="0.25">
      <c r="A114">
        <f t="shared" si="72"/>
        <v>0.5892857142857143</v>
      </c>
      <c r="B114" s="3">
        <v>99</v>
      </c>
      <c r="C114" s="3">
        <v>168</v>
      </c>
      <c r="E114">
        <f t="shared" ref="E114:M114" si="80">(0.7-((E186-1)*$K$1))/(E186)</f>
        <v>0.13199999999999998</v>
      </c>
      <c r="F114">
        <f t="shared" si="80"/>
        <v>0.10833333333333332</v>
      </c>
      <c r="G114">
        <f t="shared" si="80"/>
        <v>0.10833333333333332</v>
      </c>
      <c r="H114">
        <f t="shared" si="80"/>
        <v>0.10833333333333332</v>
      </c>
      <c r="I114">
        <f t="shared" si="80"/>
        <v>0.10833333333333332</v>
      </c>
      <c r="J114">
        <f t="shared" si="80"/>
        <v>0.10833333333333332</v>
      </c>
      <c r="K114">
        <f t="shared" si="80"/>
        <v>0.10833333333333332</v>
      </c>
      <c r="L114">
        <f t="shared" si="80"/>
        <v>9.1428571428571415E-2</v>
      </c>
      <c r="M114">
        <f t="shared" si="80"/>
        <v>0.13199999999999998</v>
      </c>
    </row>
    <row r="115" spans="1:23" x14ac:dyDescent="0.25">
      <c r="A115">
        <f t="shared" si="72"/>
        <v>0.61764705882352944</v>
      </c>
      <c r="B115" s="3">
        <v>105</v>
      </c>
      <c r="C115" s="3">
        <v>170</v>
      </c>
      <c r="E115">
        <f t="shared" ref="E115:M115" si="81">(0.7-((E187-1)*$K$1))/(E187)</f>
        <v>0.13199999999999998</v>
      </c>
      <c r="F115">
        <f t="shared" si="81"/>
        <v>0.10833333333333332</v>
      </c>
      <c r="G115">
        <f t="shared" si="81"/>
        <v>0.10833333333333332</v>
      </c>
      <c r="H115">
        <f t="shared" si="81"/>
        <v>0.10833333333333332</v>
      </c>
      <c r="I115">
        <f t="shared" si="81"/>
        <v>0.10833333333333332</v>
      </c>
      <c r="J115">
        <f t="shared" si="81"/>
        <v>0.10833333333333332</v>
      </c>
      <c r="K115">
        <f t="shared" si="81"/>
        <v>0.10833333333333332</v>
      </c>
      <c r="L115">
        <f t="shared" si="81"/>
        <v>9.1428571428571415E-2</v>
      </c>
      <c r="M115">
        <f t="shared" si="81"/>
        <v>0.13199999999999998</v>
      </c>
    </row>
    <row r="116" spans="1:23" x14ac:dyDescent="0.25">
      <c r="A116">
        <f t="shared" si="72"/>
        <v>1.6716417910447761</v>
      </c>
      <c r="B116" s="3">
        <v>112</v>
      </c>
      <c r="C116" s="3">
        <v>67</v>
      </c>
      <c r="E116">
        <f t="shared" ref="E116:M116" si="82">(0.7-((E188-1)*$K$1))/(E188)</f>
        <v>0.22666666666666666</v>
      </c>
      <c r="F116">
        <f t="shared" si="82"/>
        <v>0.16749999999999998</v>
      </c>
      <c r="G116">
        <f t="shared" si="82"/>
        <v>0.16749999999999998</v>
      </c>
      <c r="H116">
        <f t="shared" si="82"/>
        <v>0.16749999999999998</v>
      </c>
      <c r="I116">
        <f t="shared" si="82"/>
        <v>0.16749999999999998</v>
      </c>
      <c r="J116">
        <f t="shared" si="82"/>
        <v>0.16749999999999998</v>
      </c>
      <c r="K116">
        <f t="shared" si="82"/>
        <v>0.16749999999999998</v>
      </c>
      <c r="L116">
        <f t="shared" si="82"/>
        <v>0.13199999999999998</v>
      </c>
      <c r="M116">
        <f t="shared" si="82"/>
        <v>0.22666666666666666</v>
      </c>
    </row>
    <row r="117" spans="1:23" x14ac:dyDescent="0.25">
      <c r="A117">
        <f t="shared" si="72"/>
        <v>0.78488372093023251</v>
      </c>
      <c r="B117" s="3">
        <v>135</v>
      </c>
      <c r="C117" s="3">
        <v>172</v>
      </c>
      <c r="E117">
        <f t="shared" ref="E117:M117" si="83">(0.7-((E189-1)*$K$1))/(E189)</f>
        <v>0.16749999999999998</v>
      </c>
      <c r="F117">
        <f t="shared" si="83"/>
        <v>0.13199999999999998</v>
      </c>
      <c r="G117">
        <f t="shared" si="83"/>
        <v>0.13199999999999998</v>
      </c>
      <c r="H117">
        <f t="shared" si="83"/>
        <v>0.13199999999999998</v>
      </c>
      <c r="I117">
        <f t="shared" si="83"/>
        <v>0.13199999999999998</v>
      </c>
      <c r="J117">
        <f t="shared" si="83"/>
        <v>0.13199999999999998</v>
      </c>
      <c r="K117">
        <f t="shared" si="83"/>
        <v>0.13199999999999998</v>
      </c>
      <c r="L117">
        <f t="shared" si="83"/>
        <v>0.10833333333333332</v>
      </c>
      <c r="M117">
        <f t="shared" si="83"/>
        <v>0.16749999999999998</v>
      </c>
    </row>
    <row r="118" spans="1:23" x14ac:dyDescent="0.25">
      <c r="A118">
        <f t="shared" si="72"/>
        <v>0.6908212560386473</v>
      </c>
      <c r="B118" s="3">
        <v>143</v>
      </c>
      <c r="C118" s="3">
        <v>207</v>
      </c>
      <c r="E118">
        <f t="shared" ref="E118:M118" si="84">(0.7-((E190-1)*$K$1))/(E190)</f>
        <v>0.16749999999999998</v>
      </c>
      <c r="F118">
        <f t="shared" si="84"/>
        <v>0.13199999999999998</v>
      </c>
      <c r="G118">
        <f t="shared" si="84"/>
        <v>0.13199999999999998</v>
      </c>
      <c r="H118">
        <f t="shared" si="84"/>
        <v>0.13199999999999998</v>
      </c>
      <c r="I118">
        <f t="shared" si="84"/>
        <v>0.13199999999999998</v>
      </c>
      <c r="J118">
        <f t="shared" si="84"/>
        <v>0.13199999999999998</v>
      </c>
      <c r="K118">
        <f t="shared" si="84"/>
        <v>0.13199999999999998</v>
      </c>
      <c r="L118">
        <f t="shared" si="84"/>
        <v>0.10833333333333332</v>
      </c>
      <c r="M118">
        <f t="shared" si="84"/>
        <v>0.16749999999999998</v>
      </c>
    </row>
    <row r="119" spans="1:23" x14ac:dyDescent="0.25">
      <c r="A119">
        <f t="shared" si="72"/>
        <v>0.70731707317073167</v>
      </c>
      <c r="B119" s="3">
        <v>145</v>
      </c>
      <c r="C119" s="3">
        <v>205</v>
      </c>
      <c r="E119">
        <f t="shared" ref="E119:M119" si="85">(0.7-((E191-1)*$K$1))/(E191)</f>
        <v>0.16749999999999998</v>
      </c>
      <c r="F119">
        <f t="shared" si="85"/>
        <v>0.13199999999999998</v>
      </c>
      <c r="G119">
        <f t="shared" si="85"/>
        <v>0.13199999999999998</v>
      </c>
      <c r="H119">
        <f t="shared" si="85"/>
        <v>0.13199999999999998</v>
      </c>
      <c r="I119">
        <f t="shared" si="85"/>
        <v>0.13199999999999998</v>
      </c>
      <c r="J119">
        <f t="shared" si="85"/>
        <v>0.13199999999999998</v>
      </c>
      <c r="K119">
        <f t="shared" si="85"/>
        <v>0.13199999999999998</v>
      </c>
      <c r="L119">
        <f t="shared" si="85"/>
        <v>0.10833333333333332</v>
      </c>
      <c r="M119">
        <f t="shared" si="85"/>
        <v>0.16749999999999998</v>
      </c>
    </row>
    <row r="120" spans="1:23" x14ac:dyDescent="0.25">
      <c r="A120">
        <f t="shared" si="72"/>
        <v>0.71470588235294119</v>
      </c>
      <c r="B120" s="3">
        <v>243</v>
      </c>
      <c r="C120" s="3">
        <v>340</v>
      </c>
      <c r="E120">
        <f t="shared" ref="E120:M120" si="86">(0.7-((E192-1)*$K$1))/(E192)</f>
        <v>0.16749999999999998</v>
      </c>
      <c r="F120">
        <f t="shared" si="86"/>
        <v>0.13199999999999998</v>
      </c>
      <c r="G120">
        <f t="shared" si="86"/>
        <v>0.13199999999999998</v>
      </c>
      <c r="H120">
        <f t="shared" si="86"/>
        <v>0.13199999999999998</v>
      </c>
      <c r="I120">
        <f t="shared" si="86"/>
        <v>0.13199999999999998</v>
      </c>
      <c r="J120">
        <f t="shared" si="86"/>
        <v>0.13199999999999998</v>
      </c>
      <c r="K120">
        <f t="shared" si="86"/>
        <v>0.13199999999999998</v>
      </c>
      <c r="L120">
        <f t="shared" si="86"/>
        <v>0.10833333333333332</v>
      </c>
      <c r="M120">
        <f t="shared" si="86"/>
        <v>0.16749999999999998</v>
      </c>
    </row>
    <row r="121" spans="1:23" x14ac:dyDescent="0.25">
      <c r="A121">
        <f t="shared" si="72"/>
        <v>1.1222707423580787</v>
      </c>
      <c r="B121" s="3">
        <v>257</v>
      </c>
      <c r="C121" s="3">
        <v>229</v>
      </c>
      <c r="E121">
        <f t="shared" ref="E121:M121" si="87">(0.7-((E193-1)*$K$1))/(E193)</f>
        <v>0.22666666666666666</v>
      </c>
      <c r="F121">
        <f t="shared" si="87"/>
        <v>0.16749999999999998</v>
      </c>
      <c r="G121">
        <f t="shared" si="87"/>
        <v>0.16749999999999998</v>
      </c>
      <c r="H121">
        <f t="shared" si="87"/>
        <v>0.16749999999999998</v>
      </c>
      <c r="I121">
        <f t="shared" si="87"/>
        <v>0.16749999999999998</v>
      </c>
      <c r="J121">
        <f t="shared" si="87"/>
        <v>0.16749999999999998</v>
      </c>
      <c r="K121">
        <f t="shared" si="87"/>
        <v>0.16749999999999998</v>
      </c>
      <c r="L121">
        <f t="shared" si="87"/>
        <v>0.13199999999999998</v>
      </c>
      <c r="M121">
        <f t="shared" si="87"/>
        <v>0.22666666666666666</v>
      </c>
    </row>
    <row r="122" spans="1:23" x14ac:dyDescent="0.25">
      <c r="A122">
        <f t="shared" si="72"/>
        <v>0.85550458715596334</v>
      </c>
      <c r="B122" s="3">
        <v>373</v>
      </c>
      <c r="C122" s="3">
        <v>436</v>
      </c>
      <c r="E122">
        <f t="shared" ref="E122:M122" si="88">(0.7-((E194-1)*$K$1))/(E194)</f>
        <v>0.16749999999999998</v>
      </c>
      <c r="F122">
        <f t="shared" si="88"/>
        <v>0.13199999999999998</v>
      </c>
      <c r="G122">
        <f t="shared" si="88"/>
        <v>0.13199999999999998</v>
      </c>
      <c r="H122">
        <f t="shared" si="88"/>
        <v>0.13199999999999998</v>
      </c>
      <c r="I122">
        <f t="shared" si="88"/>
        <v>0.13199999999999998</v>
      </c>
      <c r="J122">
        <f t="shared" si="88"/>
        <v>0.13199999999999998</v>
      </c>
      <c r="K122">
        <f t="shared" si="88"/>
        <v>0.13199999999999998</v>
      </c>
      <c r="L122">
        <f t="shared" si="88"/>
        <v>0.10833333333333332</v>
      </c>
      <c r="M122">
        <f t="shared" si="88"/>
        <v>0.16749999999999998</v>
      </c>
    </row>
    <row r="123" spans="1:23" x14ac:dyDescent="0.25">
      <c r="A123">
        <f t="shared" si="72"/>
        <v>0.52222222222222225</v>
      </c>
      <c r="B123" s="3">
        <v>752</v>
      </c>
      <c r="C123" s="3">
        <v>1440</v>
      </c>
      <c r="E123">
        <f t="shared" ref="E123:M123" si="89">(0.7-((E195-1)*$K$1))/(E195)</f>
        <v>0.13199999999999998</v>
      </c>
      <c r="F123">
        <f t="shared" si="89"/>
        <v>0.10833333333333332</v>
      </c>
      <c r="G123">
        <f t="shared" si="89"/>
        <v>0.10833333333333332</v>
      </c>
      <c r="H123">
        <f t="shared" si="89"/>
        <v>0.10833333333333332</v>
      </c>
      <c r="I123">
        <f t="shared" si="89"/>
        <v>0.10833333333333332</v>
      </c>
      <c r="J123">
        <f t="shared" si="89"/>
        <v>0.10833333333333332</v>
      </c>
      <c r="K123">
        <f t="shared" si="89"/>
        <v>0.10833333333333332</v>
      </c>
      <c r="L123">
        <f t="shared" si="89"/>
        <v>9.1428571428571415E-2</v>
      </c>
      <c r="M123">
        <f t="shared" si="89"/>
        <v>0.13199999999999998</v>
      </c>
    </row>
    <row r="126" spans="1:23" x14ac:dyDescent="0.25">
      <c r="E126" s="1" t="s">
        <v>4</v>
      </c>
    </row>
    <row r="127" spans="1:23" x14ac:dyDescent="0.25">
      <c r="E127" s="3">
        <v>1</v>
      </c>
      <c r="F127" s="3">
        <v>5</v>
      </c>
      <c r="G127" s="3">
        <v>4</v>
      </c>
      <c r="H127" s="3">
        <v>3</v>
      </c>
      <c r="I127" s="3">
        <v>16</v>
      </c>
      <c r="J127" s="3">
        <v>16</v>
      </c>
      <c r="K127" s="3">
        <v>19.5</v>
      </c>
      <c r="L127" s="3">
        <v>21</v>
      </c>
      <c r="M127" s="3">
        <v>8</v>
      </c>
      <c r="P127" s="3"/>
      <c r="Q127" s="3"/>
      <c r="R127" s="3"/>
      <c r="S127" s="3"/>
      <c r="T127" s="3"/>
      <c r="U127" s="3"/>
      <c r="V127" s="3"/>
      <c r="W127" s="3"/>
    </row>
    <row r="128" spans="1:23" x14ac:dyDescent="0.25">
      <c r="E128" s="3">
        <v>1</v>
      </c>
      <c r="F128" s="3">
        <v>4</v>
      </c>
      <c r="G128" s="3">
        <v>3</v>
      </c>
      <c r="H128" s="3">
        <v>2</v>
      </c>
      <c r="I128" s="3">
        <v>10</v>
      </c>
      <c r="J128" s="3">
        <v>9</v>
      </c>
      <c r="K128" s="3">
        <v>9</v>
      </c>
      <c r="L128" s="3">
        <v>9</v>
      </c>
      <c r="M128" s="3">
        <v>7</v>
      </c>
      <c r="P128" s="3"/>
      <c r="Q128" s="3"/>
      <c r="R128" s="3"/>
      <c r="S128" s="3"/>
      <c r="T128" s="3"/>
      <c r="U128" s="3"/>
      <c r="V128" s="3"/>
      <c r="W128" s="3"/>
    </row>
    <row r="129" spans="1:13" x14ac:dyDescent="0.25">
      <c r="D129" s="3" t="s">
        <v>0</v>
      </c>
      <c r="E129" s="3">
        <v>720</v>
      </c>
      <c r="F129" s="3">
        <v>900</v>
      </c>
      <c r="G129" s="3">
        <v>960</v>
      </c>
      <c r="H129" s="3">
        <v>1080</v>
      </c>
      <c r="I129" s="3">
        <v>1152</v>
      </c>
      <c r="J129" s="3">
        <v>1280</v>
      </c>
      <c r="K129" s="3">
        <v>1560</v>
      </c>
      <c r="L129" s="3">
        <v>1680</v>
      </c>
      <c r="M129">
        <v>1240</v>
      </c>
    </row>
    <row r="130" spans="1:13" x14ac:dyDescent="0.25">
      <c r="B130" s="2" t="s">
        <v>0</v>
      </c>
      <c r="C130" s="2" t="s">
        <v>1</v>
      </c>
      <c r="D130" s="3" t="s">
        <v>1</v>
      </c>
      <c r="E130" s="3">
        <v>720</v>
      </c>
      <c r="F130" s="3">
        <v>720</v>
      </c>
      <c r="G130" s="3">
        <v>720</v>
      </c>
      <c r="H130" s="3">
        <v>720</v>
      </c>
      <c r="I130" s="3">
        <v>720</v>
      </c>
      <c r="J130" s="3">
        <v>720</v>
      </c>
      <c r="K130" s="3">
        <v>720</v>
      </c>
      <c r="L130" s="3">
        <v>720</v>
      </c>
      <c r="M130" s="3">
        <v>1080</v>
      </c>
    </row>
    <row r="131" spans="1:13" x14ac:dyDescent="0.25">
      <c r="A131">
        <f>B131/C131</f>
        <v>1</v>
      </c>
      <c r="B131" s="3">
        <v>1</v>
      </c>
      <c r="C131" s="3">
        <v>1</v>
      </c>
      <c r="E131">
        <f>(E107*E$105*($C131/$B131))/E$106</f>
        <v>0.16749999999999998</v>
      </c>
      <c r="F131">
        <f t="shared" ref="F131:M131" si="90">(F107*F$105*($C131/$B131))/F$106</f>
        <v>0.16499999999999998</v>
      </c>
      <c r="G131">
        <f t="shared" si="90"/>
        <v>0.17599999999999999</v>
      </c>
      <c r="H131">
        <f t="shared" si="90"/>
        <v>0.19799999999999995</v>
      </c>
      <c r="I131">
        <f t="shared" si="90"/>
        <v>0.21119999999999994</v>
      </c>
      <c r="J131">
        <f t="shared" si="90"/>
        <v>0.23466666666666663</v>
      </c>
      <c r="K131">
        <f t="shared" si="90"/>
        <v>0.28599999999999992</v>
      </c>
      <c r="L131">
        <f t="shared" si="90"/>
        <v>0.25277777777777771</v>
      </c>
      <c r="M131">
        <f t="shared" si="90"/>
        <v>0.1923148148148148</v>
      </c>
    </row>
    <row r="132" spans="1:13" x14ac:dyDescent="0.25">
      <c r="A132">
        <f t="shared" ref="A132:A147" si="91">B132/C132</f>
        <v>0.5</v>
      </c>
      <c r="B132" s="3">
        <v>1</v>
      </c>
      <c r="C132" s="3">
        <v>2</v>
      </c>
      <c r="E132">
        <f t="shared" ref="E132:M147" si="92">(E108*E$105*($C132/$B132))/E$106</f>
        <v>0.26399999999999996</v>
      </c>
      <c r="F132">
        <f t="shared" si="92"/>
        <v>0.27083333333333331</v>
      </c>
      <c r="G132">
        <f t="shared" si="92"/>
        <v>0.28888888888888886</v>
      </c>
      <c r="H132">
        <f t="shared" si="92"/>
        <v>0.32499999999999996</v>
      </c>
      <c r="I132">
        <f t="shared" si="92"/>
        <v>0.34666666666666662</v>
      </c>
      <c r="J132">
        <f t="shared" si="92"/>
        <v>0.38518518518518519</v>
      </c>
      <c r="K132">
        <f t="shared" si="92"/>
        <v>0.46944444444444439</v>
      </c>
      <c r="L132">
        <f t="shared" si="92"/>
        <v>0.42666666666666658</v>
      </c>
      <c r="M132">
        <f t="shared" si="92"/>
        <v>0.30311111111111105</v>
      </c>
    </row>
    <row r="133" spans="1:13" x14ac:dyDescent="0.25">
      <c r="A133">
        <f t="shared" si="91"/>
        <v>0.66666666666666663</v>
      </c>
      <c r="B133" s="3">
        <v>2</v>
      </c>
      <c r="C133" s="3">
        <v>3</v>
      </c>
      <c r="E133">
        <f t="shared" si="92"/>
        <v>0.25124999999999997</v>
      </c>
      <c r="F133">
        <f t="shared" si="92"/>
        <v>0.2475</v>
      </c>
      <c r="G133">
        <f t="shared" si="92"/>
        <v>0.26399999999999996</v>
      </c>
      <c r="H133">
        <f t="shared" si="92"/>
        <v>0.29699999999999999</v>
      </c>
      <c r="I133">
        <f t="shared" si="92"/>
        <v>0.31679999999999992</v>
      </c>
      <c r="J133">
        <f t="shared" si="92"/>
        <v>0.35199999999999998</v>
      </c>
      <c r="K133">
        <f t="shared" si="92"/>
        <v>0.42899999999999994</v>
      </c>
      <c r="L133">
        <f t="shared" si="92"/>
        <v>0.3791666666666666</v>
      </c>
      <c r="M133">
        <f t="shared" si="92"/>
        <v>0.28847222222222219</v>
      </c>
    </row>
    <row r="134" spans="1:13" x14ac:dyDescent="0.25">
      <c r="A134">
        <f t="shared" si="91"/>
        <v>0.75</v>
      </c>
      <c r="B134" s="3">
        <v>3</v>
      </c>
      <c r="C134" s="3">
        <v>4</v>
      </c>
      <c r="E134">
        <f t="shared" si="92"/>
        <v>0.2233333333333333</v>
      </c>
      <c r="F134">
        <f t="shared" si="92"/>
        <v>0.21999999999999997</v>
      </c>
      <c r="G134">
        <f t="shared" si="92"/>
        <v>0.23466666666666663</v>
      </c>
      <c r="H134">
        <f t="shared" si="92"/>
        <v>0.26399999999999996</v>
      </c>
      <c r="I134">
        <f t="shared" si="92"/>
        <v>0.28159999999999996</v>
      </c>
      <c r="J134">
        <f t="shared" si="92"/>
        <v>0.31288888888888883</v>
      </c>
      <c r="K134">
        <f t="shared" si="92"/>
        <v>0.38133333333333325</v>
      </c>
      <c r="L134">
        <f t="shared" si="92"/>
        <v>0.33703703703703697</v>
      </c>
      <c r="M134">
        <f t="shared" si="92"/>
        <v>0.25641975308641968</v>
      </c>
    </row>
    <row r="135" spans="1:13" x14ac:dyDescent="0.25">
      <c r="A135">
        <f t="shared" si="91"/>
        <v>0.6</v>
      </c>
      <c r="B135" s="3">
        <v>3</v>
      </c>
      <c r="C135" s="3">
        <v>5</v>
      </c>
      <c r="E135">
        <f t="shared" si="92"/>
        <v>0.21999999999999997</v>
      </c>
      <c r="F135">
        <f t="shared" si="92"/>
        <v>0.22569444444444439</v>
      </c>
      <c r="G135">
        <f t="shared" si="92"/>
        <v>0.24074074074074073</v>
      </c>
      <c r="H135">
        <f t="shared" si="92"/>
        <v>0.27083333333333331</v>
      </c>
      <c r="I135">
        <f t="shared" si="92"/>
        <v>0.28888888888888886</v>
      </c>
      <c r="J135">
        <f t="shared" si="92"/>
        <v>0.32098765432098764</v>
      </c>
      <c r="K135">
        <f t="shared" si="92"/>
        <v>0.39120370370370366</v>
      </c>
      <c r="L135">
        <f t="shared" si="92"/>
        <v>0.35555555555555546</v>
      </c>
      <c r="M135">
        <f t="shared" si="92"/>
        <v>0.25259259259259254</v>
      </c>
    </row>
    <row r="136" spans="1:13" x14ac:dyDescent="0.25">
      <c r="A136">
        <f t="shared" si="91"/>
        <v>1.3333333333333333</v>
      </c>
      <c r="B136" s="3">
        <v>4</v>
      </c>
      <c r="C136" s="3">
        <v>3</v>
      </c>
      <c r="E136">
        <f t="shared" si="92"/>
        <v>0.16999999999999998</v>
      </c>
      <c r="F136">
        <f t="shared" si="92"/>
        <v>0.15703124999999996</v>
      </c>
      <c r="G136">
        <f t="shared" si="92"/>
        <v>0.16749999999999998</v>
      </c>
      <c r="H136">
        <f t="shared" si="92"/>
        <v>0.18843749999999998</v>
      </c>
      <c r="I136">
        <f t="shared" si="92"/>
        <v>0.20099999999999996</v>
      </c>
      <c r="J136">
        <f t="shared" si="92"/>
        <v>0.2233333333333333</v>
      </c>
      <c r="K136">
        <f t="shared" si="92"/>
        <v>0.27218749999999997</v>
      </c>
      <c r="L136">
        <f t="shared" si="92"/>
        <v>0.23099999999999996</v>
      </c>
      <c r="M136">
        <f t="shared" si="92"/>
        <v>0.19518518518518518</v>
      </c>
    </row>
    <row r="137" spans="1:13" x14ac:dyDescent="0.25">
      <c r="A137">
        <f t="shared" si="91"/>
        <v>0.7142857142857143</v>
      </c>
      <c r="B137" s="3">
        <v>5</v>
      </c>
      <c r="C137" s="3">
        <v>7</v>
      </c>
      <c r="E137">
        <f t="shared" si="92"/>
        <v>0.23449999999999996</v>
      </c>
      <c r="F137">
        <f t="shared" si="92"/>
        <v>0.23099999999999996</v>
      </c>
      <c r="G137">
        <f t="shared" si="92"/>
        <v>0.24639999999999995</v>
      </c>
      <c r="H137">
        <f t="shared" si="92"/>
        <v>0.27719999999999995</v>
      </c>
      <c r="I137">
        <f t="shared" si="92"/>
        <v>0.29567999999999994</v>
      </c>
      <c r="J137">
        <f t="shared" si="92"/>
        <v>0.32853333333333329</v>
      </c>
      <c r="K137">
        <f t="shared" si="92"/>
        <v>0.40039999999999987</v>
      </c>
      <c r="L137">
        <f t="shared" si="92"/>
        <v>0.35388888888888881</v>
      </c>
      <c r="M137">
        <f t="shared" si="92"/>
        <v>0.26924074074074072</v>
      </c>
    </row>
    <row r="138" spans="1:13" x14ac:dyDescent="0.25">
      <c r="A138">
        <f t="shared" si="91"/>
        <v>0.5892857142857143</v>
      </c>
      <c r="B138" s="3">
        <v>99</v>
      </c>
      <c r="C138" s="3">
        <v>168</v>
      </c>
      <c r="E138">
        <f t="shared" si="92"/>
        <v>0.22399999999999995</v>
      </c>
      <c r="F138">
        <f t="shared" si="92"/>
        <v>0.22979797979797978</v>
      </c>
      <c r="G138">
        <f t="shared" si="92"/>
        <v>0.2451178451178451</v>
      </c>
      <c r="H138">
        <f t="shared" si="92"/>
        <v>0.27575757575757576</v>
      </c>
      <c r="I138">
        <f t="shared" si="92"/>
        <v>0.29414141414141409</v>
      </c>
      <c r="J138">
        <f t="shared" si="92"/>
        <v>0.32682379349046015</v>
      </c>
      <c r="K138">
        <f t="shared" si="92"/>
        <v>0.39831649831649829</v>
      </c>
      <c r="L138">
        <f t="shared" si="92"/>
        <v>0.36202020202020196</v>
      </c>
      <c r="M138">
        <f t="shared" si="92"/>
        <v>0.25718518518518518</v>
      </c>
    </row>
    <row r="139" spans="1:13" x14ac:dyDescent="0.25">
      <c r="A139">
        <f t="shared" si="91"/>
        <v>0.61764705882352944</v>
      </c>
      <c r="B139" s="3">
        <v>105</v>
      </c>
      <c r="C139" s="3">
        <v>170</v>
      </c>
      <c r="E139">
        <f t="shared" si="92"/>
        <v>0.21371428571428569</v>
      </c>
      <c r="F139">
        <f t="shared" si="92"/>
        <v>0.21924603174603172</v>
      </c>
      <c r="G139">
        <f t="shared" si="92"/>
        <v>0.23386243386243383</v>
      </c>
      <c r="H139">
        <f t="shared" si="92"/>
        <v>0.2630952380952381</v>
      </c>
      <c r="I139">
        <f t="shared" si="92"/>
        <v>0.28063492063492057</v>
      </c>
      <c r="J139">
        <f t="shared" si="92"/>
        <v>0.31181657848324512</v>
      </c>
      <c r="K139">
        <f t="shared" si="92"/>
        <v>0.38002645502645499</v>
      </c>
      <c r="L139">
        <f t="shared" si="92"/>
        <v>0.34539682539682531</v>
      </c>
      <c r="M139">
        <f t="shared" si="92"/>
        <v>0.24537566137566133</v>
      </c>
    </row>
    <row r="140" spans="1:13" x14ac:dyDescent="0.25">
      <c r="A140">
        <f t="shared" si="91"/>
        <v>1.6716417910447761</v>
      </c>
      <c r="B140" s="3">
        <v>112</v>
      </c>
      <c r="C140" s="3">
        <v>67</v>
      </c>
      <c r="E140">
        <f t="shared" si="92"/>
        <v>0.13559523809523807</v>
      </c>
      <c r="F140">
        <f t="shared" si="92"/>
        <v>0.12525111607142855</v>
      </c>
      <c r="G140">
        <f t="shared" si="92"/>
        <v>0.13360119047619046</v>
      </c>
      <c r="H140">
        <f t="shared" si="92"/>
        <v>0.15030133928571426</v>
      </c>
      <c r="I140">
        <f t="shared" si="92"/>
        <v>0.16032142857142856</v>
      </c>
      <c r="J140">
        <f t="shared" si="92"/>
        <v>0.17813492063492062</v>
      </c>
      <c r="K140">
        <f t="shared" si="92"/>
        <v>0.21710193452380946</v>
      </c>
      <c r="L140">
        <f t="shared" si="92"/>
        <v>0.18424999999999997</v>
      </c>
      <c r="M140">
        <f t="shared" si="92"/>
        <v>0.15568342151675482</v>
      </c>
    </row>
    <row r="141" spans="1:13" x14ac:dyDescent="0.25">
      <c r="A141">
        <f t="shared" si="91"/>
        <v>0.78488372093023251</v>
      </c>
      <c r="B141" s="3">
        <v>135</v>
      </c>
      <c r="C141" s="3">
        <v>172</v>
      </c>
      <c r="E141">
        <f t="shared" si="92"/>
        <v>0.21340740740740741</v>
      </c>
      <c r="F141">
        <f t="shared" si="92"/>
        <v>0.2102222222222222</v>
      </c>
      <c r="G141">
        <f t="shared" si="92"/>
        <v>0.22423703703703701</v>
      </c>
      <c r="H141">
        <f t="shared" si="92"/>
        <v>0.25226666666666664</v>
      </c>
      <c r="I141">
        <f t="shared" si="92"/>
        <v>0.26908444444444435</v>
      </c>
      <c r="J141">
        <f t="shared" si="92"/>
        <v>0.2989827160493827</v>
      </c>
      <c r="K141">
        <f t="shared" si="92"/>
        <v>0.36438518518518515</v>
      </c>
      <c r="L141">
        <f t="shared" si="92"/>
        <v>0.32205761316872422</v>
      </c>
      <c r="M141">
        <f t="shared" si="92"/>
        <v>0.24502331961591217</v>
      </c>
    </row>
    <row r="142" spans="1:13" x14ac:dyDescent="0.25">
      <c r="A142">
        <f t="shared" si="91"/>
        <v>0.6908212560386473</v>
      </c>
      <c r="B142" s="3">
        <v>143</v>
      </c>
      <c r="C142" s="3">
        <v>207</v>
      </c>
      <c r="E142">
        <f t="shared" si="92"/>
        <v>0.24246503496503494</v>
      </c>
      <c r="F142">
        <f t="shared" si="92"/>
        <v>0.23884615384615379</v>
      </c>
      <c r="G142">
        <f t="shared" si="92"/>
        <v>0.25476923076923075</v>
      </c>
      <c r="H142">
        <f t="shared" si="92"/>
        <v>0.28661538461538455</v>
      </c>
      <c r="I142">
        <f t="shared" si="92"/>
        <v>0.30572307692307682</v>
      </c>
      <c r="J142">
        <f t="shared" si="92"/>
        <v>0.33969230769230763</v>
      </c>
      <c r="K142">
        <f t="shared" si="92"/>
        <v>0.41399999999999992</v>
      </c>
      <c r="L142">
        <f t="shared" si="92"/>
        <v>0.3659090909090908</v>
      </c>
      <c r="M142">
        <f t="shared" si="92"/>
        <v>0.27838578088578086</v>
      </c>
    </row>
    <row r="143" spans="1:13" x14ac:dyDescent="0.25">
      <c r="A143">
        <f t="shared" si="91"/>
        <v>0.70731707317073167</v>
      </c>
      <c r="B143" s="3">
        <v>145</v>
      </c>
      <c r="C143" s="3">
        <v>205</v>
      </c>
      <c r="E143">
        <f t="shared" si="92"/>
        <v>0.23681034482758617</v>
      </c>
      <c r="F143">
        <f t="shared" si="92"/>
        <v>0.23327586206896547</v>
      </c>
      <c r="G143">
        <f t="shared" si="92"/>
        <v>0.24882758620689652</v>
      </c>
      <c r="H143">
        <f t="shared" si="92"/>
        <v>0.27993103448275858</v>
      </c>
      <c r="I143">
        <f t="shared" si="92"/>
        <v>0.29859310344827578</v>
      </c>
      <c r="J143">
        <f t="shared" si="92"/>
        <v>0.33177011494252867</v>
      </c>
      <c r="K143">
        <f t="shared" si="92"/>
        <v>0.40434482758620682</v>
      </c>
      <c r="L143">
        <f t="shared" si="92"/>
        <v>0.35737547892720301</v>
      </c>
      <c r="M143">
        <f t="shared" si="92"/>
        <v>0.27189335887611749</v>
      </c>
    </row>
    <row r="144" spans="1:13" x14ac:dyDescent="0.25">
      <c r="A144">
        <f t="shared" si="91"/>
        <v>0.71470588235294119</v>
      </c>
      <c r="B144" s="3">
        <v>243</v>
      </c>
      <c r="C144" s="3">
        <v>340</v>
      </c>
      <c r="E144">
        <f t="shared" si="92"/>
        <v>0.23436213991769547</v>
      </c>
      <c r="F144">
        <f t="shared" si="92"/>
        <v>0.23086419753086418</v>
      </c>
      <c r="G144">
        <f t="shared" si="92"/>
        <v>0.24625514403292179</v>
      </c>
      <c r="H144">
        <f t="shared" si="92"/>
        <v>0.27703703703703703</v>
      </c>
      <c r="I144">
        <f t="shared" si="92"/>
        <v>0.29550617283950609</v>
      </c>
      <c r="J144">
        <f t="shared" si="92"/>
        <v>0.3283401920438957</v>
      </c>
      <c r="K144">
        <f t="shared" si="92"/>
        <v>0.40016460905349793</v>
      </c>
      <c r="L144">
        <f t="shared" si="92"/>
        <v>0.35368084133516225</v>
      </c>
      <c r="M144">
        <f t="shared" si="92"/>
        <v>0.26908245694253924</v>
      </c>
    </row>
    <row r="145" spans="1:13" x14ac:dyDescent="0.25">
      <c r="A145">
        <f t="shared" si="91"/>
        <v>1.1222707423580787</v>
      </c>
      <c r="B145" s="3">
        <v>257</v>
      </c>
      <c r="C145" s="3">
        <v>229</v>
      </c>
      <c r="E145">
        <f t="shared" si="92"/>
        <v>0.20197146562905316</v>
      </c>
      <c r="F145">
        <f t="shared" si="92"/>
        <v>0.18656371595330737</v>
      </c>
      <c r="G145">
        <f t="shared" si="92"/>
        <v>0.1990012970168612</v>
      </c>
      <c r="H145">
        <f t="shared" si="92"/>
        <v>0.22387645914396886</v>
      </c>
      <c r="I145">
        <f t="shared" si="92"/>
        <v>0.23880155642023343</v>
      </c>
      <c r="J145">
        <f t="shared" si="92"/>
        <v>0.2653350626891483</v>
      </c>
      <c r="K145">
        <f t="shared" si="92"/>
        <v>0.32337710765239946</v>
      </c>
      <c r="L145">
        <f t="shared" si="92"/>
        <v>0.27444357976653694</v>
      </c>
      <c r="M145">
        <f t="shared" si="92"/>
        <v>0.23189316424076478</v>
      </c>
    </row>
    <row r="146" spans="1:13" x14ac:dyDescent="0.25">
      <c r="A146">
        <f t="shared" si="91"/>
        <v>0.85550458715596334</v>
      </c>
      <c r="B146" s="3">
        <v>373</v>
      </c>
      <c r="C146" s="3">
        <v>436</v>
      </c>
      <c r="E146">
        <f t="shared" si="92"/>
        <v>0.19579088471849862</v>
      </c>
      <c r="F146">
        <f t="shared" si="92"/>
        <v>0.19286863270777477</v>
      </c>
      <c r="G146">
        <f t="shared" si="92"/>
        <v>0.20572654155495976</v>
      </c>
      <c r="H146">
        <f t="shared" si="92"/>
        <v>0.23144235924932971</v>
      </c>
      <c r="I146">
        <f t="shared" si="92"/>
        <v>0.24687184986595168</v>
      </c>
      <c r="J146">
        <f t="shared" si="92"/>
        <v>0.27430205540661301</v>
      </c>
      <c r="K146">
        <f t="shared" si="92"/>
        <v>0.33430563002680957</v>
      </c>
      <c r="L146">
        <f t="shared" si="92"/>
        <v>0.29547214775096808</v>
      </c>
      <c r="M146">
        <f t="shared" si="92"/>
        <v>0.22479694171383177</v>
      </c>
    </row>
    <row r="147" spans="1:13" x14ac:dyDescent="0.25">
      <c r="A147">
        <f t="shared" si="91"/>
        <v>0.52222222222222225</v>
      </c>
      <c r="B147" s="3">
        <v>752</v>
      </c>
      <c r="C147" s="3">
        <v>1440</v>
      </c>
      <c r="E147">
        <f t="shared" si="92"/>
        <v>0.25276595744680846</v>
      </c>
      <c r="F147">
        <f t="shared" si="92"/>
        <v>0.25930851063829785</v>
      </c>
      <c r="G147">
        <f t="shared" si="92"/>
        <v>0.27659574468085102</v>
      </c>
      <c r="H147">
        <f t="shared" si="92"/>
        <v>0.31117021276595741</v>
      </c>
      <c r="I147">
        <f t="shared" si="92"/>
        <v>0.33191489361702126</v>
      </c>
      <c r="J147">
        <f t="shared" si="92"/>
        <v>0.36879432624113473</v>
      </c>
      <c r="K147">
        <f t="shared" si="92"/>
        <v>0.44946808510638292</v>
      </c>
      <c r="L147">
        <f t="shared" si="92"/>
        <v>0.40851063829787232</v>
      </c>
      <c r="M147">
        <f t="shared" si="92"/>
        <v>0.29021276595744677</v>
      </c>
    </row>
    <row r="150" spans="1:13" x14ac:dyDescent="0.25">
      <c r="E150" s="1" t="s">
        <v>5</v>
      </c>
    </row>
    <row r="151" spans="1:13" x14ac:dyDescent="0.25">
      <c r="E151" s="3">
        <v>1</v>
      </c>
      <c r="F151" s="3">
        <v>5</v>
      </c>
      <c r="G151" s="3">
        <v>4</v>
      </c>
      <c r="H151" s="3">
        <v>3</v>
      </c>
      <c r="I151" s="3">
        <v>16</v>
      </c>
      <c r="J151" s="3">
        <v>16</v>
      </c>
      <c r="K151" s="3">
        <v>19.5</v>
      </c>
      <c r="L151" s="3">
        <v>21</v>
      </c>
      <c r="M151" s="3">
        <v>8</v>
      </c>
    </row>
    <row r="152" spans="1:13" x14ac:dyDescent="0.25">
      <c r="E152" s="3">
        <v>1</v>
      </c>
      <c r="F152" s="3">
        <v>4</v>
      </c>
      <c r="G152" s="3">
        <v>3</v>
      </c>
      <c r="H152" s="3">
        <v>2</v>
      </c>
      <c r="I152" s="3">
        <v>10</v>
      </c>
      <c r="J152" s="3">
        <v>9</v>
      </c>
      <c r="K152" s="3">
        <v>9</v>
      </c>
      <c r="L152" s="3">
        <v>9</v>
      </c>
      <c r="M152" s="3">
        <v>7</v>
      </c>
    </row>
    <row r="153" spans="1:13" x14ac:dyDescent="0.25">
      <c r="D153" s="3" t="s">
        <v>0</v>
      </c>
      <c r="E153" s="3">
        <v>720</v>
      </c>
      <c r="F153" s="3">
        <v>900</v>
      </c>
      <c r="G153" s="3">
        <v>960</v>
      </c>
      <c r="H153" s="3">
        <v>1080</v>
      </c>
      <c r="I153" s="3">
        <v>1152</v>
      </c>
      <c r="J153" s="3">
        <v>1280</v>
      </c>
      <c r="K153" s="3">
        <v>1560</v>
      </c>
      <c r="L153" s="3">
        <v>1680</v>
      </c>
      <c r="M153">
        <v>1240</v>
      </c>
    </row>
    <row r="154" spans="1:13" x14ac:dyDescent="0.25">
      <c r="B154" s="2" t="s">
        <v>0</v>
      </c>
      <c r="C154" s="2" t="s">
        <v>1</v>
      </c>
      <c r="D154" s="3" t="s">
        <v>1</v>
      </c>
      <c r="E154" s="3">
        <v>720</v>
      </c>
      <c r="F154" s="3">
        <v>720</v>
      </c>
      <c r="G154" s="3">
        <v>720</v>
      </c>
      <c r="H154" s="3">
        <v>720</v>
      </c>
      <c r="I154" s="3">
        <v>720</v>
      </c>
      <c r="J154" s="3">
        <v>720</v>
      </c>
      <c r="K154" s="3">
        <v>720</v>
      </c>
      <c r="L154" s="3">
        <v>720</v>
      </c>
      <c r="M154" s="3">
        <v>1080</v>
      </c>
    </row>
    <row r="155" spans="1:13" x14ac:dyDescent="0.25">
      <c r="A155">
        <f>B155/C155</f>
        <v>1</v>
      </c>
      <c r="B155" s="3">
        <v>1</v>
      </c>
      <c r="C155" s="3">
        <v>1</v>
      </c>
      <c r="E155">
        <f>($K$1*E$153)/E$154</f>
        <v>0.01</v>
      </c>
      <c r="F155">
        <f t="shared" ref="F155:M170" si="93">($K$1*F$153)/F$154</f>
        <v>1.2500000000000001E-2</v>
      </c>
      <c r="G155">
        <f t="shared" si="93"/>
        <v>1.3333333333333332E-2</v>
      </c>
      <c r="H155">
        <f t="shared" si="93"/>
        <v>1.5000000000000001E-2</v>
      </c>
      <c r="I155">
        <f t="shared" si="93"/>
        <v>1.6E-2</v>
      </c>
      <c r="J155">
        <f t="shared" si="93"/>
        <v>1.7777777777777778E-2</v>
      </c>
      <c r="K155">
        <f t="shared" si="93"/>
        <v>2.1666666666666667E-2</v>
      </c>
      <c r="L155">
        <f t="shared" si="93"/>
        <v>2.3333333333333334E-2</v>
      </c>
      <c r="M155">
        <f t="shared" si="93"/>
        <v>1.1481481481481481E-2</v>
      </c>
    </row>
    <row r="156" spans="1:13" x14ac:dyDescent="0.25">
      <c r="A156">
        <f t="shared" ref="A156:A171" si="94">B156/C156</f>
        <v>0.5</v>
      </c>
      <c r="B156" s="3">
        <v>1</v>
      </c>
      <c r="C156" s="3">
        <v>2</v>
      </c>
      <c r="E156">
        <f t="shared" ref="E156:M171" si="95">($K$1*E$153)/E$154</f>
        <v>0.01</v>
      </c>
      <c r="F156">
        <f t="shared" si="93"/>
        <v>1.2500000000000001E-2</v>
      </c>
      <c r="G156">
        <f t="shared" si="93"/>
        <v>1.3333333333333332E-2</v>
      </c>
      <c r="H156">
        <f t="shared" si="93"/>
        <v>1.5000000000000001E-2</v>
      </c>
      <c r="I156">
        <f t="shared" si="93"/>
        <v>1.6E-2</v>
      </c>
      <c r="J156">
        <f t="shared" si="93"/>
        <v>1.7777777777777778E-2</v>
      </c>
      <c r="K156">
        <f t="shared" si="93"/>
        <v>2.1666666666666667E-2</v>
      </c>
      <c r="L156">
        <f t="shared" si="93"/>
        <v>2.3333333333333334E-2</v>
      </c>
      <c r="M156">
        <f t="shared" si="93"/>
        <v>1.1481481481481481E-2</v>
      </c>
    </row>
    <row r="157" spans="1:13" x14ac:dyDescent="0.25">
      <c r="A157">
        <f t="shared" si="94"/>
        <v>0.66666666666666663</v>
      </c>
      <c r="B157" s="3">
        <v>2</v>
      </c>
      <c r="C157" s="3">
        <v>3</v>
      </c>
      <c r="E157">
        <f t="shared" si="95"/>
        <v>0.01</v>
      </c>
      <c r="F157">
        <f t="shared" si="93"/>
        <v>1.2500000000000001E-2</v>
      </c>
      <c r="G157">
        <f t="shared" si="93"/>
        <v>1.3333333333333332E-2</v>
      </c>
      <c r="H157">
        <f t="shared" si="93"/>
        <v>1.5000000000000001E-2</v>
      </c>
      <c r="I157">
        <f t="shared" si="93"/>
        <v>1.6E-2</v>
      </c>
      <c r="J157">
        <f t="shared" si="93"/>
        <v>1.7777777777777778E-2</v>
      </c>
      <c r="K157">
        <f t="shared" si="93"/>
        <v>2.1666666666666667E-2</v>
      </c>
      <c r="L157">
        <f t="shared" si="93"/>
        <v>2.3333333333333334E-2</v>
      </c>
      <c r="M157">
        <f t="shared" si="93"/>
        <v>1.1481481481481481E-2</v>
      </c>
    </row>
    <row r="158" spans="1:13" x14ac:dyDescent="0.25">
      <c r="A158">
        <f t="shared" si="94"/>
        <v>0.75</v>
      </c>
      <c r="B158" s="3">
        <v>3</v>
      </c>
      <c r="C158" s="3">
        <v>4</v>
      </c>
      <c r="E158">
        <f t="shared" si="95"/>
        <v>0.01</v>
      </c>
      <c r="F158">
        <f t="shared" si="93"/>
        <v>1.2500000000000001E-2</v>
      </c>
      <c r="G158">
        <f t="shared" si="93"/>
        <v>1.3333333333333332E-2</v>
      </c>
      <c r="H158">
        <f t="shared" si="93"/>
        <v>1.5000000000000001E-2</v>
      </c>
      <c r="I158">
        <f t="shared" si="93"/>
        <v>1.6E-2</v>
      </c>
      <c r="J158">
        <f t="shared" si="93"/>
        <v>1.7777777777777778E-2</v>
      </c>
      <c r="K158">
        <f t="shared" si="93"/>
        <v>2.1666666666666667E-2</v>
      </c>
      <c r="L158">
        <f t="shared" si="93"/>
        <v>2.3333333333333334E-2</v>
      </c>
      <c r="M158">
        <f t="shared" si="93"/>
        <v>1.1481481481481481E-2</v>
      </c>
    </row>
    <row r="159" spans="1:13" x14ac:dyDescent="0.25">
      <c r="A159">
        <f t="shared" si="94"/>
        <v>0.6</v>
      </c>
      <c r="B159" s="3">
        <v>3</v>
      </c>
      <c r="C159" s="3">
        <v>5</v>
      </c>
      <c r="E159">
        <f t="shared" si="95"/>
        <v>0.01</v>
      </c>
      <c r="F159">
        <f t="shared" si="93"/>
        <v>1.2500000000000001E-2</v>
      </c>
      <c r="G159">
        <f t="shared" si="93"/>
        <v>1.3333333333333332E-2</v>
      </c>
      <c r="H159">
        <f t="shared" si="93"/>
        <v>1.5000000000000001E-2</v>
      </c>
      <c r="I159">
        <f t="shared" si="93"/>
        <v>1.6E-2</v>
      </c>
      <c r="J159">
        <f t="shared" si="93"/>
        <v>1.7777777777777778E-2</v>
      </c>
      <c r="K159">
        <f t="shared" si="93"/>
        <v>2.1666666666666667E-2</v>
      </c>
      <c r="L159">
        <f t="shared" si="93"/>
        <v>2.3333333333333334E-2</v>
      </c>
      <c r="M159">
        <f t="shared" si="93"/>
        <v>1.1481481481481481E-2</v>
      </c>
    </row>
    <row r="160" spans="1:13" x14ac:dyDescent="0.25">
      <c r="A160">
        <f t="shared" si="94"/>
        <v>1.3333333333333333</v>
      </c>
      <c r="B160" s="3">
        <v>4</v>
      </c>
      <c r="C160" s="3">
        <v>3</v>
      </c>
      <c r="E160">
        <f t="shared" si="95"/>
        <v>0.01</v>
      </c>
      <c r="F160">
        <f t="shared" si="93"/>
        <v>1.2500000000000001E-2</v>
      </c>
      <c r="G160">
        <f t="shared" si="93"/>
        <v>1.3333333333333332E-2</v>
      </c>
      <c r="H160">
        <f t="shared" si="93"/>
        <v>1.5000000000000001E-2</v>
      </c>
      <c r="I160">
        <f t="shared" si="93"/>
        <v>1.6E-2</v>
      </c>
      <c r="J160">
        <f t="shared" si="93"/>
        <v>1.7777777777777778E-2</v>
      </c>
      <c r="K160">
        <f t="shared" si="93"/>
        <v>2.1666666666666667E-2</v>
      </c>
      <c r="L160">
        <f t="shared" si="93"/>
        <v>2.3333333333333334E-2</v>
      </c>
      <c r="M160">
        <f t="shared" si="93"/>
        <v>1.1481481481481481E-2</v>
      </c>
    </row>
    <row r="161" spans="1:24" x14ac:dyDescent="0.25">
      <c r="A161">
        <f t="shared" si="94"/>
        <v>0.7142857142857143</v>
      </c>
      <c r="B161" s="3">
        <v>5</v>
      </c>
      <c r="C161" s="3">
        <v>7</v>
      </c>
      <c r="E161">
        <f t="shared" si="95"/>
        <v>0.01</v>
      </c>
      <c r="F161">
        <f t="shared" si="93"/>
        <v>1.2500000000000001E-2</v>
      </c>
      <c r="G161">
        <f t="shared" si="93"/>
        <v>1.3333333333333332E-2</v>
      </c>
      <c r="H161">
        <f t="shared" si="93"/>
        <v>1.5000000000000001E-2</v>
      </c>
      <c r="I161">
        <f t="shared" si="93"/>
        <v>1.6E-2</v>
      </c>
      <c r="J161">
        <f t="shared" si="93"/>
        <v>1.7777777777777778E-2</v>
      </c>
      <c r="K161">
        <f t="shared" si="93"/>
        <v>2.1666666666666667E-2</v>
      </c>
      <c r="L161">
        <f t="shared" si="93"/>
        <v>2.3333333333333334E-2</v>
      </c>
      <c r="M161">
        <f t="shared" si="93"/>
        <v>1.1481481481481481E-2</v>
      </c>
    </row>
    <row r="162" spans="1:24" x14ac:dyDescent="0.25">
      <c r="A162">
        <f t="shared" si="94"/>
        <v>0.5892857142857143</v>
      </c>
      <c r="B162" s="3">
        <v>99</v>
      </c>
      <c r="C162" s="3">
        <v>168</v>
      </c>
      <c r="E162">
        <f t="shared" si="95"/>
        <v>0.01</v>
      </c>
      <c r="F162">
        <f t="shared" si="93"/>
        <v>1.2500000000000001E-2</v>
      </c>
      <c r="G162">
        <f t="shared" si="93"/>
        <v>1.3333333333333332E-2</v>
      </c>
      <c r="H162">
        <f t="shared" si="93"/>
        <v>1.5000000000000001E-2</v>
      </c>
      <c r="I162">
        <f t="shared" si="93"/>
        <v>1.6E-2</v>
      </c>
      <c r="J162">
        <f t="shared" si="93"/>
        <v>1.7777777777777778E-2</v>
      </c>
      <c r="K162">
        <f t="shared" si="93"/>
        <v>2.1666666666666667E-2</v>
      </c>
      <c r="L162">
        <f t="shared" si="93"/>
        <v>2.3333333333333334E-2</v>
      </c>
      <c r="M162">
        <f t="shared" si="93"/>
        <v>1.1481481481481481E-2</v>
      </c>
    </row>
    <row r="163" spans="1:24" x14ac:dyDescent="0.25">
      <c r="A163">
        <f t="shared" si="94"/>
        <v>0.61764705882352944</v>
      </c>
      <c r="B163" s="3">
        <v>105</v>
      </c>
      <c r="C163" s="3">
        <v>170</v>
      </c>
      <c r="E163">
        <f t="shared" si="95"/>
        <v>0.01</v>
      </c>
      <c r="F163">
        <f t="shared" si="93"/>
        <v>1.2500000000000001E-2</v>
      </c>
      <c r="G163">
        <f t="shared" si="93"/>
        <v>1.3333333333333332E-2</v>
      </c>
      <c r="H163">
        <f t="shared" si="93"/>
        <v>1.5000000000000001E-2</v>
      </c>
      <c r="I163">
        <f t="shared" si="93"/>
        <v>1.6E-2</v>
      </c>
      <c r="J163">
        <f t="shared" si="93"/>
        <v>1.7777777777777778E-2</v>
      </c>
      <c r="K163">
        <f t="shared" si="93"/>
        <v>2.1666666666666667E-2</v>
      </c>
      <c r="L163">
        <f t="shared" si="93"/>
        <v>2.3333333333333334E-2</v>
      </c>
      <c r="M163">
        <f t="shared" si="93"/>
        <v>1.1481481481481481E-2</v>
      </c>
    </row>
    <row r="164" spans="1:24" x14ac:dyDescent="0.25">
      <c r="A164">
        <f t="shared" si="94"/>
        <v>1.6716417910447761</v>
      </c>
      <c r="B164" s="3">
        <v>112</v>
      </c>
      <c r="C164" s="3">
        <v>67</v>
      </c>
      <c r="E164">
        <f t="shared" si="95"/>
        <v>0.01</v>
      </c>
      <c r="F164">
        <f t="shared" si="93"/>
        <v>1.2500000000000001E-2</v>
      </c>
      <c r="G164">
        <f t="shared" si="93"/>
        <v>1.3333333333333332E-2</v>
      </c>
      <c r="H164">
        <f t="shared" si="93"/>
        <v>1.5000000000000001E-2</v>
      </c>
      <c r="I164">
        <f t="shared" si="93"/>
        <v>1.6E-2</v>
      </c>
      <c r="J164">
        <f t="shared" si="93"/>
        <v>1.7777777777777778E-2</v>
      </c>
      <c r="K164">
        <f t="shared" si="93"/>
        <v>2.1666666666666667E-2</v>
      </c>
      <c r="L164">
        <f t="shared" si="93"/>
        <v>2.3333333333333334E-2</v>
      </c>
      <c r="M164">
        <f t="shared" si="93"/>
        <v>1.1481481481481481E-2</v>
      </c>
    </row>
    <row r="165" spans="1:24" x14ac:dyDescent="0.25">
      <c r="A165">
        <f t="shared" si="94"/>
        <v>0.78488372093023251</v>
      </c>
      <c r="B165" s="3">
        <v>135</v>
      </c>
      <c r="C165" s="3">
        <v>172</v>
      </c>
      <c r="E165">
        <f t="shared" si="95"/>
        <v>0.01</v>
      </c>
      <c r="F165">
        <f t="shared" si="93"/>
        <v>1.2500000000000001E-2</v>
      </c>
      <c r="G165">
        <f t="shared" si="93"/>
        <v>1.3333333333333332E-2</v>
      </c>
      <c r="H165">
        <f t="shared" si="93"/>
        <v>1.5000000000000001E-2</v>
      </c>
      <c r="I165">
        <f t="shared" si="93"/>
        <v>1.6E-2</v>
      </c>
      <c r="J165">
        <f t="shared" si="93"/>
        <v>1.7777777777777778E-2</v>
      </c>
      <c r="K165">
        <f t="shared" si="93"/>
        <v>2.1666666666666667E-2</v>
      </c>
      <c r="L165">
        <f t="shared" si="93"/>
        <v>2.3333333333333334E-2</v>
      </c>
      <c r="M165">
        <f t="shared" si="93"/>
        <v>1.1481481481481481E-2</v>
      </c>
    </row>
    <row r="166" spans="1:24" x14ac:dyDescent="0.25">
      <c r="A166">
        <f t="shared" si="94"/>
        <v>0.6908212560386473</v>
      </c>
      <c r="B166" s="3">
        <v>143</v>
      </c>
      <c r="C166" s="3">
        <v>207</v>
      </c>
      <c r="E166">
        <f t="shared" si="95"/>
        <v>0.01</v>
      </c>
      <c r="F166">
        <f t="shared" si="93"/>
        <v>1.2500000000000001E-2</v>
      </c>
      <c r="G166">
        <f t="shared" si="93"/>
        <v>1.3333333333333332E-2</v>
      </c>
      <c r="H166">
        <f t="shared" si="93"/>
        <v>1.5000000000000001E-2</v>
      </c>
      <c r="I166">
        <f t="shared" si="93"/>
        <v>1.6E-2</v>
      </c>
      <c r="J166">
        <f t="shared" si="93"/>
        <v>1.7777777777777778E-2</v>
      </c>
      <c r="K166">
        <f t="shared" si="93"/>
        <v>2.1666666666666667E-2</v>
      </c>
      <c r="L166">
        <f t="shared" si="93"/>
        <v>2.3333333333333334E-2</v>
      </c>
      <c r="M166">
        <f t="shared" si="93"/>
        <v>1.1481481481481481E-2</v>
      </c>
    </row>
    <row r="167" spans="1:24" x14ac:dyDescent="0.25">
      <c r="A167">
        <f t="shared" si="94"/>
        <v>0.70731707317073167</v>
      </c>
      <c r="B167" s="3">
        <v>145</v>
      </c>
      <c r="C167" s="3">
        <v>205</v>
      </c>
      <c r="E167">
        <f t="shared" si="95"/>
        <v>0.01</v>
      </c>
      <c r="F167">
        <f t="shared" si="93"/>
        <v>1.2500000000000001E-2</v>
      </c>
      <c r="G167">
        <f t="shared" si="93"/>
        <v>1.3333333333333332E-2</v>
      </c>
      <c r="H167">
        <f t="shared" si="93"/>
        <v>1.5000000000000001E-2</v>
      </c>
      <c r="I167">
        <f t="shared" si="93"/>
        <v>1.6E-2</v>
      </c>
      <c r="J167">
        <f t="shared" si="93"/>
        <v>1.7777777777777778E-2</v>
      </c>
      <c r="K167">
        <f t="shared" si="93"/>
        <v>2.1666666666666667E-2</v>
      </c>
      <c r="L167">
        <f t="shared" si="93"/>
        <v>2.3333333333333334E-2</v>
      </c>
      <c r="M167">
        <f t="shared" si="93"/>
        <v>1.1481481481481481E-2</v>
      </c>
    </row>
    <row r="168" spans="1:24" x14ac:dyDescent="0.25">
      <c r="A168">
        <f t="shared" si="94"/>
        <v>0.71470588235294119</v>
      </c>
      <c r="B168" s="3">
        <v>243</v>
      </c>
      <c r="C168" s="3">
        <v>340</v>
      </c>
      <c r="E168">
        <f t="shared" si="95"/>
        <v>0.01</v>
      </c>
      <c r="F168">
        <f t="shared" si="93"/>
        <v>1.2500000000000001E-2</v>
      </c>
      <c r="G168">
        <f t="shared" si="93"/>
        <v>1.3333333333333332E-2</v>
      </c>
      <c r="H168">
        <f t="shared" si="93"/>
        <v>1.5000000000000001E-2</v>
      </c>
      <c r="I168">
        <f t="shared" si="93"/>
        <v>1.6E-2</v>
      </c>
      <c r="J168">
        <f t="shared" si="93"/>
        <v>1.7777777777777778E-2</v>
      </c>
      <c r="K168">
        <f t="shared" si="93"/>
        <v>2.1666666666666667E-2</v>
      </c>
      <c r="L168">
        <f t="shared" si="93"/>
        <v>2.3333333333333334E-2</v>
      </c>
      <c r="M168">
        <f t="shared" si="93"/>
        <v>1.1481481481481481E-2</v>
      </c>
    </row>
    <row r="169" spans="1:24" x14ac:dyDescent="0.25">
      <c r="A169">
        <f t="shared" si="94"/>
        <v>1.1222707423580787</v>
      </c>
      <c r="B169" s="3">
        <v>257</v>
      </c>
      <c r="C169" s="3">
        <v>229</v>
      </c>
      <c r="E169">
        <f t="shared" si="95"/>
        <v>0.01</v>
      </c>
      <c r="F169">
        <f t="shared" si="93"/>
        <v>1.2500000000000001E-2</v>
      </c>
      <c r="G169">
        <f t="shared" si="93"/>
        <v>1.3333333333333332E-2</v>
      </c>
      <c r="H169">
        <f t="shared" si="93"/>
        <v>1.5000000000000001E-2</v>
      </c>
      <c r="I169">
        <f t="shared" si="93"/>
        <v>1.6E-2</v>
      </c>
      <c r="J169">
        <f t="shared" si="93"/>
        <v>1.7777777777777778E-2</v>
      </c>
      <c r="K169">
        <f t="shared" si="93"/>
        <v>2.1666666666666667E-2</v>
      </c>
      <c r="L169">
        <f t="shared" si="93"/>
        <v>2.3333333333333334E-2</v>
      </c>
      <c r="M169">
        <f t="shared" si="93"/>
        <v>1.1481481481481481E-2</v>
      </c>
    </row>
    <row r="170" spans="1:24" x14ac:dyDescent="0.25">
      <c r="A170">
        <f t="shared" si="94"/>
        <v>0.85550458715596334</v>
      </c>
      <c r="B170" s="3">
        <v>373</v>
      </c>
      <c r="C170" s="3">
        <v>436</v>
      </c>
      <c r="E170">
        <f t="shared" si="95"/>
        <v>0.01</v>
      </c>
      <c r="F170">
        <f t="shared" si="93"/>
        <v>1.2500000000000001E-2</v>
      </c>
      <c r="G170">
        <f t="shared" si="93"/>
        <v>1.3333333333333332E-2</v>
      </c>
      <c r="H170">
        <f t="shared" si="93"/>
        <v>1.5000000000000001E-2</v>
      </c>
      <c r="I170">
        <f t="shared" si="93"/>
        <v>1.6E-2</v>
      </c>
      <c r="J170">
        <f t="shared" si="93"/>
        <v>1.7777777777777778E-2</v>
      </c>
      <c r="K170">
        <f t="shared" si="93"/>
        <v>2.1666666666666667E-2</v>
      </c>
      <c r="L170">
        <f t="shared" si="93"/>
        <v>2.3333333333333334E-2</v>
      </c>
      <c r="M170">
        <f t="shared" si="93"/>
        <v>1.1481481481481481E-2</v>
      </c>
    </row>
    <row r="171" spans="1:24" x14ac:dyDescent="0.25">
      <c r="A171">
        <f t="shared" si="94"/>
        <v>0.52222222222222225</v>
      </c>
      <c r="B171" s="3">
        <v>752</v>
      </c>
      <c r="C171" s="3">
        <v>1440</v>
      </c>
      <c r="E171">
        <f t="shared" si="95"/>
        <v>0.01</v>
      </c>
      <c r="F171">
        <f t="shared" si="95"/>
        <v>1.2500000000000001E-2</v>
      </c>
      <c r="G171">
        <f t="shared" si="95"/>
        <v>1.3333333333333332E-2</v>
      </c>
      <c r="H171">
        <f t="shared" si="95"/>
        <v>1.5000000000000001E-2</v>
      </c>
      <c r="I171">
        <f t="shared" si="95"/>
        <v>1.6E-2</v>
      </c>
      <c r="J171">
        <f t="shared" si="95"/>
        <v>1.7777777777777778E-2</v>
      </c>
      <c r="K171">
        <f t="shared" si="95"/>
        <v>2.1666666666666667E-2</v>
      </c>
      <c r="L171">
        <f t="shared" si="95"/>
        <v>2.3333333333333334E-2</v>
      </c>
      <c r="M171">
        <f t="shared" si="95"/>
        <v>1.1481481481481481E-2</v>
      </c>
    </row>
    <row r="174" spans="1:24" x14ac:dyDescent="0.25">
      <c r="E174" s="1" t="s">
        <v>19</v>
      </c>
      <c r="F174" s="2"/>
      <c r="G174" s="2"/>
      <c r="H174" s="2"/>
      <c r="I174" s="2"/>
      <c r="J174" s="2"/>
      <c r="P174" s="6" t="s">
        <v>20</v>
      </c>
    </row>
    <row r="175" spans="1:24" x14ac:dyDescent="0.25">
      <c r="E175" s="3">
        <v>1</v>
      </c>
      <c r="F175" s="3">
        <v>5</v>
      </c>
      <c r="G175" s="3">
        <v>4</v>
      </c>
      <c r="H175" s="3">
        <v>3</v>
      </c>
      <c r="I175" s="3">
        <v>16</v>
      </c>
      <c r="J175" s="3">
        <v>16</v>
      </c>
      <c r="K175" s="3">
        <v>19.5</v>
      </c>
      <c r="L175" s="3">
        <v>21</v>
      </c>
      <c r="M175" s="3">
        <v>8</v>
      </c>
      <c r="P175" s="3">
        <v>1</v>
      </c>
      <c r="Q175" s="3">
        <v>5</v>
      </c>
      <c r="R175" s="3">
        <v>4</v>
      </c>
      <c r="S175" s="3">
        <v>3</v>
      </c>
      <c r="T175" s="3">
        <v>16</v>
      </c>
      <c r="U175" s="3">
        <v>16</v>
      </c>
      <c r="V175" s="3">
        <v>19.5</v>
      </c>
      <c r="W175" s="3">
        <v>21</v>
      </c>
      <c r="X175" s="3">
        <v>8</v>
      </c>
    </row>
    <row r="176" spans="1:24" x14ac:dyDescent="0.25">
      <c r="E176" s="3">
        <v>1</v>
      </c>
      <c r="F176" s="3">
        <v>4</v>
      </c>
      <c r="G176" s="3">
        <v>3</v>
      </c>
      <c r="H176" s="3">
        <v>2</v>
      </c>
      <c r="I176" s="3">
        <v>10</v>
      </c>
      <c r="J176" s="3">
        <v>9</v>
      </c>
      <c r="K176" s="3">
        <v>9</v>
      </c>
      <c r="L176" s="3">
        <v>9</v>
      </c>
      <c r="M176" s="3">
        <v>7</v>
      </c>
      <c r="P176" s="3">
        <v>1</v>
      </c>
      <c r="Q176" s="3">
        <v>4</v>
      </c>
      <c r="R176" s="3">
        <v>3</v>
      </c>
      <c r="S176" s="3">
        <v>2</v>
      </c>
      <c r="T176" s="3">
        <v>10</v>
      </c>
      <c r="U176" s="3">
        <v>9</v>
      </c>
      <c r="V176" s="3">
        <v>9</v>
      </c>
      <c r="W176" s="3">
        <v>9</v>
      </c>
      <c r="X176" s="3">
        <v>7</v>
      </c>
    </row>
    <row r="177" spans="1:24" x14ac:dyDescent="0.25">
      <c r="D177" s="3" t="s">
        <v>0</v>
      </c>
      <c r="E177" s="3">
        <v>720</v>
      </c>
      <c r="F177" s="3">
        <v>900</v>
      </c>
      <c r="G177" s="3">
        <v>960</v>
      </c>
      <c r="H177" s="3">
        <v>1080</v>
      </c>
      <c r="I177" s="3">
        <v>1152</v>
      </c>
      <c r="J177" s="3">
        <v>1280</v>
      </c>
      <c r="K177" s="3">
        <v>1560</v>
      </c>
      <c r="L177" s="3">
        <v>1680</v>
      </c>
      <c r="M177">
        <v>1240</v>
      </c>
      <c r="P177" s="3">
        <v>720</v>
      </c>
      <c r="Q177" s="3">
        <v>900</v>
      </c>
      <c r="R177" s="3">
        <v>960</v>
      </c>
      <c r="S177" s="3">
        <v>1080</v>
      </c>
      <c r="T177" s="3">
        <v>1152</v>
      </c>
      <c r="U177" s="3">
        <v>1280</v>
      </c>
      <c r="V177" s="3">
        <v>1560</v>
      </c>
      <c r="W177" s="3">
        <v>1680</v>
      </c>
      <c r="X177">
        <v>1240</v>
      </c>
    </row>
    <row r="178" spans="1:24" x14ac:dyDescent="0.25">
      <c r="B178" s="2" t="s">
        <v>0</v>
      </c>
      <c r="C178" s="2" t="s">
        <v>1</v>
      </c>
      <c r="D178" s="3" t="s">
        <v>1</v>
      </c>
      <c r="E178" s="3">
        <v>720</v>
      </c>
      <c r="F178" s="3">
        <v>720</v>
      </c>
      <c r="G178" s="3">
        <v>720</v>
      </c>
      <c r="H178" s="3">
        <v>720</v>
      </c>
      <c r="I178" s="3">
        <v>720</v>
      </c>
      <c r="J178" s="3">
        <v>720</v>
      </c>
      <c r="K178" s="3">
        <v>720</v>
      </c>
      <c r="L178" s="3">
        <v>720</v>
      </c>
      <c r="M178" s="3">
        <v>1080</v>
      </c>
      <c r="P178" s="3">
        <v>720</v>
      </c>
      <c r="Q178" s="3">
        <v>720</v>
      </c>
      <c r="R178" s="3">
        <v>720</v>
      </c>
      <c r="S178" s="3">
        <v>720</v>
      </c>
      <c r="T178" s="3">
        <v>720</v>
      </c>
      <c r="U178" s="3">
        <v>720</v>
      </c>
      <c r="V178" s="3">
        <v>720</v>
      </c>
      <c r="W178" s="3">
        <v>720</v>
      </c>
      <c r="X178" s="3">
        <v>1080</v>
      </c>
    </row>
    <row r="179" spans="1:24" x14ac:dyDescent="0.25">
      <c r="A179">
        <f>B179/C179</f>
        <v>1</v>
      </c>
      <c r="B179" s="3">
        <v>1</v>
      </c>
      <c r="C179" s="3">
        <v>1</v>
      </c>
      <c r="E179">
        <f>E79+1</f>
        <v>4</v>
      </c>
      <c r="F179">
        <f t="shared" ref="F179:M179" si="96">F79+1</f>
        <v>5</v>
      </c>
      <c r="G179">
        <f t="shared" si="96"/>
        <v>5</v>
      </c>
      <c r="H179">
        <f t="shared" si="96"/>
        <v>5</v>
      </c>
      <c r="I179">
        <f t="shared" si="96"/>
        <v>5</v>
      </c>
      <c r="J179">
        <f t="shared" si="96"/>
        <v>5</v>
      </c>
      <c r="K179">
        <f t="shared" si="96"/>
        <v>5</v>
      </c>
      <c r="L179">
        <f t="shared" si="96"/>
        <v>6</v>
      </c>
      <c r="M179">
        <f t="shared" si="96"/>
        <v>4</v>
      </c>
      <c r="P179">
        <f>$P$2/E131</f>
        <v>4.0298507462686572</v>
      </c>
      <c r="Q179">
        <f t="shared" ref="Q179:Q195" si="97">$P$2/F131</f>
        <v>4.0909090909090917</v>
      </c>
      <c r="R179">
        <f t="shared" ref="R179:R195" si="98">$P$2/G131</f>
        <v>3.8352272727272734</v>
      </c>
      <c r="S179">
        <f t="shared" ref="S179:S195" si="99">$P$2/H131</f>
        <v>3.4090909090909101</v>
      </c>
      <c r="T179">
        <f t="shared" ref="T179:T195" si="100">$P$2/I131</f>
        <v>3.1960227272727284</v>
      </c>
      <c r="U179">
        <f t="shared" ref="U179:U195" si="101">$P$2/J131</f>
        <v>2.876420454545455</v>
      </c>
      <c r="V179">
        <f t="shared" ref="V179:V195" si="102">$P$2/K131</f>
        <v>2.3601398601398609</v>
      </c>
      <c r="W179">
        <f t="shared" ref="W179:X179" si="103">$P$2/L131</f>
        <v>2.6703296703296711</v>
      </c>
      <c r="X179">
        <f t="shared" si="103"/>
        <v>3.509870004814637</v>
      </c>
    </row>
    <row r="180" spans="1:24" x14ac:dyDescent="0.25">
      <c r="A180">
        <f t="shared" ref="A180:A195" si="104">B180/C180</f>
        <v>0.5</v>
      </c>
      <c r="B180" s="3">
        <v>1</v>
      </c>
      <c r="C180" s="3">
        <v>2</v>
      </c>
      <c r="E180">
        <f t="shared" ref="E180:M180" si="105">E80+1</f>
        <v>5</v>
      </c>
      <c r="F180">
        <f t="shared" si="105"/>
        <v>6</v>
      </c>
      <c r="G180">
        <f t="shared" si="105"/>
        <v>6</v>
      </c>
      <c r="H180">
        <f t="shared" si="105"/>
        <v>6</v>
      </c>
      <c r="I180">
        <f t="shared" si="105"/>
        <v>6</v>
      </c>
      <c r="J180">
        <f t="shared" si="105"/>
        <v>6</v>
      </c>
      <c r="K180">
        <f t="shared" si="105"/>
        <v>6</v>
      </c>
      <c r="L180">
        <f t="shared" si="105"/>
        <v>7</v>
      </c>
      <c r="M180">
        <f t="shared" si="105"/>
        <v>5</v>
      </c>
      <c r="P180">
        <f t="shared" ref="P180:P195" si="106">$P$2/E132</f>
        <v>2.5568181818181825</v>
      </c>
      <c r="Q180">
        <f t="shared" si="97"/>
        <v>2.4923076923076928</v>
      </c>
      <c r="R180">
        <f t="shared" si="98"/>
        <v>2.3365384615384621</v>
      </c>
      <c r="S180">
        <f t="shared" si="99"/>
        <v>2.0769230769230775</v>
      </c>
      <c r="T180">
        <f t="shared" si="100"/>
        <v>1.947115384615385</v>
      </c>
      <c r="U180">
        <f t="shared" si="101"/>
        <v>1.7524038461538463</v>
      </c>
      <c r="V180">
        <f t="shared" si="102"/>
        <v>1.4378698224852073</v>
      </c>
      <c r="W180">
        <f t="shared" ref="W180:W195" si="107">$P$2/L132</f>
        <v>1.5820312500000004</v>
      </c>
      <c r="X180">
        <f t="shared" ref="X180:X195" si="108">$P$2/M132</f>
        <v>2.2269061583577718</v>
      </c>
    </row>
    <row r="181" spans="1:24" x14ac:dyDescent="0.25">
      <c r="A181">
        <f t="shared" si="104"/>
        <v>0.66666666666666663</v>
      </c>
      <c r="B181" s="3">
        <v>2</v>
      </c>
      <c r="C181" s="3">
        <v>3</v>
      </c>
      <c r="E181">
        <f t="shared" ref="E181:M181" si="109">E81+1</f>
        <v>4</v>
      </c>
      <c r="F181">
        <f t="shared" si="109"/>
        <v>5</v>
      </c>
      <c r="G181">
        <f t="shared" si="109"/>
        <v>5</v>
      </c>
      <c r="H181">
        <f t="shared" si="109"/>
        <v>5</v>
      </c>
      <c r="I181">
        <f t="shared" si="109"/>
        <v>5</v>
      </c>
      <c r="J181">
        <f t="shared" si="109"/>
        <v>5</v>
      </c>
      <c r="K181">
        <f t="shared" si="109"/>
        <v>5</v>
      </c>
      <c r="L181">
        <f t="shared" si="109"/>
        <v>6</v>
      </c>
      <c r="M181">
        <f t="shared" si="109"/>
        <v>4</v>
      </c>
      <c r="P181">
        <f t="shared" si="106"/>
        <v>2.6865671641791051</v>
      </c>
      <c r="Q181">
        <f t="shared" si="97"/>
        <v>2.7272727272727275</v>
      </c>
      <c r="R181">
        <f t="shared" si="98"/>
        <v>2.5568181818181825</v>
      </c>
      <c r="S181">
        <f t="shared" si="99"/>
        <v>2.2727272727272729</v>
      </c>
      <c r="T181">
        <f t="shared" si="100"/>
        <v>2.1306818181818188</v>
      </c>
      <c r="U181">
        <f t="shared" si="101"/>
        <v>1.9176136363636367</v>
      </c>
      <c r="V181">
        <f t="shared" si="102"/>
        <v>1.5734265734265738</v>
      </c>
      <c r="W181">
        <f t="shared" si="107"/>
        <v>1.7802197802197806</v>
      </c>
      <c r="X181">
        <f t="shared" si="108"/>
        <v>2.3399133365430913</v>
      </c>
    </row>
    <row r="182" spans="1:24" x14ac:dyDescent="0.25">
      <c r="A182">
        <f t="shared" si="104"/>
        <v>0.75</v>
      </c>
      <c r="B182" s="3">
        <v>3</v>
      </c>
      <c r="C182" s="3">
        <v>4</v>
      </c>
      <c r="E182">
        <f t="shared" ref="E182:M182" si="110">E82+1</f>
        <v>4</v>
      </c>
      <c r="F182">
        <f t="shared" si="110"/>
        <v>5</v>
      </c>
      <c r="G182">
        <f t="shared" si="110"/>
        <v>5</v>
      </c>
      <c r="H182">
        <f t="shared" si="110"/>
        <v>5</v>
      </c>
      <c r="I182">
        <f t="shared" si="110"/>
        <v>5</v>
      </c>
      <c r="J182">
        <f t="shared" si="110"/>
        <v>5</v>
      </c>
      <c r="K182">
        <f t="shared" si="110"/>
        <v>5</v>
      </c>
      <c r="L182">
        <f t="shared" si="110"/>
        <v>6</v>
      </c>
      <c r="M182">
        <f t="shared" si="110"/>
        <v>4</v>
      </c>
      <c r="P182">
        <f t="shared" si="106"/>
        <v>3.0223880597014934</v>
      </c>
      <c r="Q182">
        <f t="shared" si="97"/>
        <v>3.0681818181818188</v>
      </c>
      <c r="R182">
        <f t="shared" si="98"/>
        <v>2.876420454545455</v>
      </c>
      <c r="S182">
        <f t="shared" si="99"/>
        <v>2.5568181818181825</v>
      </c>
      <c r="T182">
        <f t="shared" si="100"/>
        <v>2.3970170454545459</v>
      </c>
      <c r="U182">
        <f t="shared" si="101"/>
        <v>2.1573153409090913</v>
      </c>
      <c r="V182">
        <f t="shared" si="102"/>
        <v>1.7701048951048957</v>
      </c>
      <c r="W182">
        <f t="shared" si="107"/>
        <v>2.0027472527472532</v>
      </c>
      <c r="X182">
        <f t="shared" si="108"/>
        <v>2.6324025036109782</v>
      </c>
    </row>
    <row r="183" spans="1:24" x14ac:dyDescent="0.25">
      <c r="A183">
        <f t="shared" si="104"/>
        <v>0.6</v>
      </c>
      <c r="B183" s="3">
        <v>3</v>
      </c>
      <c r="C183" s="3">
        <v>5</v>
      </c>
      <c r="E183">
        <f t="shared" ref="E183:M183" si="111">E83+1</f>
        <v>5</v>
      </c>
      <c r="F183">
        <f t="shared" si="111"/>
        <v>6</v>
      </c>
      <c r="G183">
        <f t="shared" si="111"/>
        <v>6</v>
      </c>
      <c r="H183">
        <f t="shared" si="111"/>
        <v>6</v>
      </c>
      <c r="I183">
        <f t="shared" si="111"/>
        <v>6</v>
      </c>
      <c r="J183">
        <f t="shared" si="111"/>
        <v>6</v>
      </c>
      <c r="K183">
        <f t="shared" si="111"/>
        <v>6</v>
      </c>
      <c r="L183">
        <f t="shared" si="111"/>
        <v>7</v>
      </c>
      <c r="M183">
        <f t="shared" si="111"/>
        <v>5</v>
      </c>
      <c r="P183">
        <f t="shared" si="106"/>
        <v>3.0681818181818188</v>
      </c>
      <c r="Q183">
        <f t="shared" si="97"/>
        <v>2.9907692307692315</v>
      </c>
      <c r="R183">
        <f t="shared" si="98"/>
        <v>2.8038461538461541</v>
      </c>
      <c r="S183">
        <f t="shared" si="99"/>
        <v>2.4923076923076928</v>
      </c>
      <c r="T183">
        <f t="shared" si="100"/>
        <v>2.3365384615384621</v>
      </c>
      <c r="U183">
        <f t="shared" si="101"/>
        <v>2.1028846153846157</v>
      </c>
      <c r="V183">
        <f t="shared" si="102"/>
        <v>1.7254437869822488</v>
      </c>
      <c r="W183">
        <f t="shared" si="107"/>
        <v>1.8984375000000007</v>
      </c>
      <c r="X183">
        <f t="shared" si="108"/>
        <v>2.6722873900293265</v>
      </c>
    </row>
    <row r="184" spans="1:24" x14ac:dyDescent="0.25">
      <c r="A184">
        <f t="shared" si="104"/>
        <v>1.3333333333333333</v>
      </c>
      <c r="B184" s="3">
        <v>4</v>
      </c>
      <c r="C184" s="3">
        <v>3</v>
      </c>
      <c r="E184">
        <f t="shared" ref="E184:M184" si="112">E84+1</f>
        <v>3</v>
      </c>
      <c r="F184">
        <f t="shared" si="112"/>
        <v>4</v>
      </c>
      <c r="G184">
        <f t="shared" si="112"/>
        <v>4</v>
      </c>
      <c r="H184">
        <f t="shared" si="112"/>
        <v>4</v>
      </c>
      <c r="I184">
        <f t="shared" si="112"/>
        <v>4</v>
      </c>
      <c r="J184">
        <f t="shared" si="112"/>
        <v>4</v>
      </c>
      <c r="K184">
        <f t="shared" si="112"/>
        <v>4</v>
      </c>
      <c r="L184">
        <f t="shared" si="112"/>
        <v>5</v>
      </c>
      <c r="M184">
        <f t="shared" si="112"/>
        <v>3</v>
      </c>
      <c r="P184">
        <f t="shared" si="106"/>
        <v>3.9705882352941182</v>
      </c>
      <c r="Q184">
        <f t="shared" si="97"/>
        <v>4.2985074626865689</v>
      </c>
      <c r="R184">
        <f t="shared" si="98"/>
        <v>4.0298507462686572</v>
      </c>
      <c r="S184">
        <f t="shared" si="99"/>
        <v>3.5820895522388065</v>
      </c>
      <c r="T184">
        <f t="shared" si="100"/>
        <v>3.3582089552238816</v>
      </c>
      <c r="U184">
        <f t="shared" si="101"/>
        <v>3.0223880597014934</v>
      </c>
      <c r="V184">
        <f t="shared" si="102"/>
        <v>2.4799081515499428</v>
      </c>
      <c r="W184">
        <f t="shared" si="107"/>
        <v>2.9220779220779227</v>
      </c>
      <c r="X184">
        <f t="shared" si="108"/>
        <v>3.4582542694497156</v>
      </c>
    </row>
    <row r="185" spans="1:24" x14ac:dyDescent="0.25">
      <c r="A185">
        <f t="shared" si="104"/>
        <v>0.7142857142857143</v>
      </c>
      <c r="B185" s="3">
        <v>5</v>
      </c>
      <c r="C185" s="3">
        <v>7</v>
      </c>
      <c r="E185">
        <f t="shared" ref="E185:M185" si="113">E85+1</f>
        <v>4</v>
      </c>
      <c r="F185">
        <f t="shared" si="113"/>
        <v>5</v>
      </c>
      <c r="G185">
        <f t="shared" si="113"/>
        <v>5</v>
      </c>
      <c r="H185">
        <f t="shared" si="113"/>
        <v>5</v>
      </c>
      <c r="I185">
        <f t="shared" si="113"/>
        <v>5</v>
      </c>
      <c r="J185">
        <f t="shared" si="113"/>
        <v>5</v>
      </c>
      <c r="K185">
        <f t="shared" si="113"/>
        <v>5</v>
      </c>
      <c r="L185">
        <f t="shared" si="113"/>
        <v>6</v>
      </c>
      <c r="M185">
        <f t="shared" si="113"/>
        <v>4</v>
      </c>
      <c r="P185">
        <f t="shared" si="106"/>
        <v>2.878464818763327</v>
      </c>
      <c r="Q185">
        <f t="shared" si="97"/>
        <v>2.9220779220779227</v>
      </c>
      <c r="R185">
        <f t="shared" si="98"/>
        <v>2.7394480519480529</v>
      </c>
      <c r="S185">
        <f t="shared" si="99"/>
        <v>2.4350649350649358</v>
      </c>
      <c r="T185">
        <f t="shared" si="100"/>
        <v>2.2828733766233773</v>
      </c>
      <c r="U185">
        <f t="shared" si="101"/>
        <v>2.0545860389610393</v>
      </c>
      <c r="V185">
        <f t="shared" si="102"/>
        <v>1.6858141858141864</v>
      </c>
      <c r="W185">
        <f t="shared" si="107"/>
        <v>1.9073783359497651</v>
      </c>
      <c r="X185">
        <f t="shared" si="108"/>
        <v>2.5070500034390264</v>
      </c>
    </row>
    <row r="186" spans="1:24" x14ac:dyDescent="0.25">
      <c r="A186">
        <f t="shared" si="104"/>
        <v>0.5892857142857143</v>
      </c>
      <c r="B186" s="3">
        <v>99</v>
      </c>
      <c r="C186" s="3">
        <v>168</v>
      </c>
      <c r="E186">
        <f t="shared" ref="E186:M186" si="114">E86+1</f>
        <v>5</v>
      </c>
      <c r="F186">
        <f t="shared" si="114"/>
        <v>6</v>
      </c>
      <c r="G186">
        <f t="shared" si="114"/>
        <v>6</v>
      </c>
      <c r="H186">
        <f t="shared" si="114"/>
        <v>6</v>
      </c>
      <c r="I186">
        <f t="shared" si="114"/>
        <v>6</v>
      </c>
      <c r="J186">
        <f t="shared" si="114"/>
        <v>6</v>
      </c>
      <c r="K186">
        <f t="shared" si="114"/>
        <v>6</v>
      </c>
      <c r="L186">
        <f t="shared" si="114"/>
        <v>7</v>
      </c>
      <c r="M186">
        <f t="shared" si="114"/>
        <v>5</v>
      </c>
      <c r="P186">
        <f t="shared" si="106"/>
        <v>3.0133928571428581</v>
      </c>
      <c r="Q186">
        <f t="shared" si="97"/>
        <v>2.9373626373626376</v>
      </c>
      <c r="R186">
        <f t="shared" si="98"/>
        <v>2.7537774725274731</v>
      </c>
      <c r="S186">
        <f t="shared" si="99"/>
        <v>2.447802197802198</v>
      </c>
      <c r="T186">
        <f t="shared" si="100"/>
        <v>2.2948145604395611</v>
      </c>
      <c r="U186">
        <f t="shared" si="101"/>
        <v>2.0653331043956045</v>
      </c>
      <c r="V186">
        <f t="shared" si="102"/>
        <v>1.6946322907861371</v>
      </c>
      <c r="W186">
        <f t="shared" si="107"/>
        <v>1.8645368303571432</v>
      </c>
      <c r="X186">
        <f t="shared" si="108"/>
        <v>2.6245679723502304</v>
      </c>
    </row>
    <row r="187" spans="1:24" x14ac:dyDescent="0.25">
      <c r="A187">
        <f t="shared" si="104"/>
        <v>0.61764705882352944</v>
      </c>
      <c r="B187" s="3">
        <v>105</v>
      </c>
      <c r="C187" s="3">
        <v>170</v>
      </c>
      <c r="E187">
        <f t="shared" ref="E187:M187" si="115">E87+1</f>
        <v>5</v>
      </c>
      <c r="F187">
        <f t="shared" si="115"/>
        <v>6</v>
      </c>
      <c r="G187">
        <f t="shared" si="115"/>
        <v>6</v>
      </c>
      <c r="H187">
        <f t="shared" si="115"/>
        <v>6</v>
      </c>
      <c r="I187">
        <f t="shared" si="115"/>
        <v>6</v>
      </c>
      <c r="J187">
        <f t="shared" si="115"/>
        <v>6</v>
      </c>
      <c r="K187">
        <f t="shared" si="115"/>
        <v>6</v>
      </c>
      <c r="L187">
        <f t="shared" si="115"/>
        <v>7</v>
      </c>
      <c r="M187">
        <f t="shared" si="115"/>
        <v>5</v>
      </c>
      <c r="P187">
        <f t="shared" si="106"/>
        <v>3.1584224598930488</v>
      </c>
      <c r="Q187">
        <f t="shared" si="97"/>
        <v>3.0787330316742088</v>
      </c>
      <c r="R187">
        <f t="shared" si="98"/>
        <v>2.8863122171945705</v>
      </c>
      <c r="S187">
        <f t="shared" si="99"/>
        <v>2.565610859728507</v>
      </c>
      <c r="T187">
        <f t="shared" si="100"/>
        <v>2.4052601809954757</v>
      </c>
      <c r="U187">
        <f t="shared" si="101"/>
        <v>2.164734162895928</v>
      </c>
      <c r="V187">
        <f t="shared" si="102"/>
        <v>1.7761921336581974</v>
      </c>
      <c r="W187">
        <f t="shared" si="107"/>
        <v>1.954273897058824</v>
      </c>
      <c r="X187">
        <f t="shared" si="108"/>
        <v>2.750884077971365</v>
      </c>
    </row>
    <row r="188" spans="1:24" x14ac:dyDescent="0.25">
      <c r="A188">
        <f t="shared" si="104"/>
        <v>1.6716417910447761</v>
      </c>
      <c r="B188" s="3">
        <v>112</v>
      </c>
      <c r="C188" s="3">
        <v>67</v>
      </c>
      <c r="E188">
        <f t="shared" ref="E188:M188" si="116">E88+1</f>
        <v>3</v>
      </c>
      <c r="F188">
        <f t="shared" si="116"/>
        <v>4</v>
      </c>
      <c r="G188">
        <f t="shared" si="116"/>
        <v>4</v>
      </c>
      <c r="H188">
        <f t="shared" si="116"/>
        <v>4</v>
      </c>
      <c r="I188">
        <f t="shared" si="116"/>
        <v>4</v>
      </c>
      <c r="J188">
        <f t="shared" si="116"/>
        <v>4</v>
      </c>
      <c r="K188">
        <f t="shared" si="116"/>
        <v>4</v>
      </c>
      <c r="L188">
        <f t="shared" si="116"/>
        <v>5</v>
      </c>
      <c r="M188">
        <f t="shared" si="116"/>
        <v>3</v>
      </c>
      <c r="P188">
        <f t="shared" si="106"/>
        <v>4.978050921861283</v>
      </c>
      <c r="Q188">
        <f t="shared" si="97"/>
        <v>5.389173535308533</v>
      </c>
      <c r="R188">
        <f t="shared" si="98"/>
        <v>5.05235018935175</v>
      </c>
      <c r="S188">
        <f t="shared" si="99"/>
        <v>4.4909779460904442</v>
      </c>
      <c r="T188">
        <f t="shared" si="100"/>
        <v>4.2102918244597909</v>
      </c>
      <c r="U188">
        <f t="shared" si="101"/>
        <v>3.7892626420138122</v>
      </c>
      <c r="V188">
        <f t="shared" si="102"/>
        <v>3.1091385780626157</v>
      </c>
      <c r="W188">
        <f t="shared" si="107"/>
        <v>3.6635006784260522</v>
      </c>
      <c r="X188">
        <f t="shared" si="108"/>
        <v>4.3357217706533753</v>
      </c>
    </row>
    <row r="189" spans="1:24" x14ac:dyDescent="0.25">
      <c r="A189">
        <f t="shared" si="104"/>
        <v>0.78488372093023251</v>
      </c>
      <c r="B189" s="3">
        <v>135</v>
      </c>
      <c r="C189" s="3">
        <v>172</v>
      </c>
      <c r="E189">
        <f t="shared" ref="E189:M189" si="117">E89+1</f>
        <v>4</v>
      </c>
      <c r="F189">
        <f t="shared" si="117"/>
        <v>5</v>
      </c>
      <c r="G189">
        <f t="shared" si="117"/>
        <v>5</v>
      </c>
      <c r="H189">
        <f t="shared" si="117"/>
        <v>5</v>
      </c>
      <c r="I189">
        <f t="shared" si="117"/>
        <v>5</v>
      </c>
      <c r="J189">
        <f t="shared" si="117"/>
        <v>5</v>
      </c>
      <c r="K189">
        <f t="shared" si="117"/>
        <v>5</v>
      </c>
      <c r="L189">
        <f t="shared" si="117"/>
        <v>6</v>
      </c>
      <c r="M189">
        <f t="shared" si="117"/>
        <v>4</v>
      </c>
      <c r="P189">
        <f t="shared" si="106"/>
        <v>3.1629642485248182</v>
      </c>
      <c r="Q189">
        <f t="shared" si="97"/>
        <v>3.2108879492600431</v>
      </c>
      <c r="R189">
        <f t="shared" si="98"/>
        <v>3.0102074524312901</v>
      </c>
      <c r="S189">
        <f t="shared" si="99"/>
        <v>2.6757399577167025</v>
      </c>
      <c r="T189">
        <f t="shared" si="100"/>
        <v>2.5085062103594091</v>
      </c>
      <c r="U189">
        <f t="shared" si="101"/>
        <v>2.2576555893234675</v>
      </c>
      <c r="V189">
        <f t="shared" si="102"/>
        <v>1.8524353553423325</v>
      </c>
      <c r="W189">
        <f t="shared" si="107"/>
        <v>2.0958982877587533</v>
      </c>
      <c r="X189">
        <f t="shared" si="108"/>
        <v>2.7548398293603258</v>
      </c>
    </row>
    <row r="190" spans="1:24" x14ac:dyDescent="0.25">
      <c r="A190">
        <f t="shared" si="104"/>
        <v>0.6908212560386473</v>
      </c>
      <c r="B190" s="3">
        <v>143</v>
      </c>
      <c r="C190" s="3">
        <v>207</v>
      </c>
      <c r="E190">
        <f t="shared" ref="E190:M190" si="118">E90+1</f>
        <v>4</v>
      </c>
      <c r="F190">
        <f t="shared" si="118"/>
        <v>5</v>
      </c>
      <c r="G190">
        <f t="shared" si="118"/>
        <v>5</v>
      </c>
      <c r="H190">
        <f t="shared" si="118"/>
        <v>5</v>
      </c>
      <c r="I190">
        <f t="shared" si="118"/>
        <v>5</v>
      </c>
      <c r="J190">
        <f t="shared" si="118"/>
        <v>5</v>
      </c>
      <c r="K190">
        <f t="shared" si="118"/>
        <v>5</v>
      </c>
      <c r="L190">
        <f t="shared" si="118"/>
        <v>6</v>
      </c>
      <c r="M190">
        <f t="shared" si="118"/>
        <v>4</v>
      </c>
      <c r="P190">
        <f t="shared" si="106"/>
        <v>2.7839065541855943</v>
      </c>
      <c r="Q190">
        <f t="shared" si="97"/>
        <v>2.8260869565217401</v>
      </c>
      <c r="R190">
        <f t="shared" si="98"/>
        <v>2.6494565217391308</v>
      </c>
      <c r="S190">
        <f t="shared" si="99"/>
        <v>2.3550724637681166</v>
      </c>
      <c r="T190">
        <f t="shared" si="100"/>
        <v>2.2078804347826098</v>
      </c>
      <c r="U190">
        <f t="shared" si="101"/>
        <v>1.9870923913043483</v>
      </c>
      <c r="V190">
        <f t="shared" si="102"/>
        <v>1.630434782608696</v>
      </c>
      <c r="W190">
        <f t="shared" si="107"/>
        <v>1.8447204968944106</v>
      </c>
      <c r="X190">
        <f t="shared" si="108"/>
        <v>2.4246928052584207</v>
      </c>
    </row>
    <row r="191" spans="1:24" x14ac:dyDescent="0.25">
      <c r="A191">
        <f t="shared" si="104"/>
        <v>0.70731707317073167</v>
      </c>
      <c r="B191" s="3">
        <v>145</v>
      </c>
      <c r="C191" s="3">
        <v>205</v>
      </c>
      <c r="E191">
        <f t="shared" ref="E191:M191" si="119">E91+1</f>
        <v>4</v>
      </c>
      <c r="F191">
        <f t="shared" si="119"/>
        <v>5</v>
      </c>
      <c r="G191">
        <f t="shared" si="119"/>
        <v>5</v>
      </c>
      <c r="H191">
        <f t="shared" si="119"/>
        <v>5</v>
      </c>
      <c r="I191">
        <f t="shared" si="119"/>
        <v>5</v>
      </c>
      <c r="J191">
        <f t="shared" si="119"/>
        <v>5</v>
      </c>
      <c r="K191">
        <f t="shared" si="119"/>
        <v>5</v>
      </c>
      <c r="L191">
        <f t="shared" si="119"/>
        <v>6</v>
      </c>
      <c r="M191">
        <f t="shared" si="119"/>
        <v>4</v>
      </c>
      <c r="P191">
        <f t="shared" si="106"/>
        <v>2.850382235165636</v>
      </c>
      <c r="Q191">
        <f t="shared" si="97"/>
        <v>2.8935698447893579</v>
      </c>
      <c r="R191">
        <f t="shared" si="98"/>
        <v>2.7127217294900228</v>
      </c>
      <c r="S191">
        <f t="shared" si="99"/>
        <v>2.4113082039911315</v>
      </c>
      <c r="T191">
        <f t="shared" si="100"/>
        <v>2.2606014412416862</v>
      </c>
      <c r="U191">
        <f t="shared" si="101"/>
        <v>2.0345412971175172</v>
      </c>
      <c r="V191">
        <f t="shared" si="102"/>
        <v>1.6693672181477064</v>
      </c>
      <c r="W191">
        <f t="shared" si="107"/>
        <v>1.8887697668185477</v>
      </c>
      <c r="X191">
        <f t="shared" si="108"/>
        <v>2.4825909790152307</v>
      </c>
    </row>
    <row r="192" spans="1:24" x14ac:dyDescent="0.25">
      <c r="A192">
        <f t="shared" si="104"/>
        <v>0.71470588235294119</v>
      </c>
      <c r="B192" s="3">
        <v>243</v>
      </c>
      <c r="C192" s="3">
        <v>340</v>
      </c>
      <c r="E192">
        <f t="shared" ref="E192:M192" si="120">E92+1</f>
        <v>4</v>
      </c>
      <c r="F192">
        <f t="shared" si="120"/>
        <v>5</v>
      </c>
      <c r="G192">
        <f t="shared" si="120"/>
        <v>5</v>
      </c>
      <c r="H192">
        <f t="shared" si="120"/>
        <v>5</v>
      </c>
      <c r="I192">
        <f t="shared" si="120"/>
        <v>5</v>
      </c>
      <c r="J192">
        <f t="shared" si="120"/>
        <v>5</v>
      </c>
      <c r="K192">
        <f t="shared" si="120"/>
        <v>5</v>
      </c>
      <c r="L192">
        <f t="shared" si="120"/>
        <v>6</v>
      </c>
      <c r="M192">
        <f t="shared" si="120"/>
        <v>4</v>
      </c>
      <c r="P192">
        <f t="shared" si="106"/>
        <v>2.8801580333625991</v>
      </c>
      <c r="Q192">
        <f t="shared" si="97"/>
        <v>2.9237967914438507</v>
      </c>
      <c r="R192">
        <f t="shared" si="98"/>
        <v>2.7410594919786102</v>
      </c>
      <c r="S192">
        <f t="shared" si="99"/>
        <v>2.436497326203209</v>
      </c>
      <c r="T192">
        <f t="shared" si="100"/>
        <v>2.2842162433155089</v>
      </c>
      <c r="U192">
        <f t="shared" si="101"/>
        <v>2.0557946189839575</v>
      </c>
      <c r="V192">
        <f t="shared" si="102"/>
        <v>1.6868058412176061</v>
      </c>
      <c r="W192">
        <f t="shared" si="107"/>
        <v>1.9085003232062061</v>
      </c>
      <c r="X192">
        <f t="shared" si="108"/>
        <v>2.5085247387351668</v>
      </c>
    </row>
    <row r="193" spans="1:24" x14ac:dyDescent="0.25">
      <c r="A193">
        <f t="shared" si="104"/>
        <v>1.1222707423580787</v>
      </c>
      <c r="B193" s="3">
        <v>257</v>
      </c>
      <c r="C193" s="3">
        <v>229</v>
      </c>
      <c r="E193">
        <f t="shared" ref="E193:M193" si="121">E93+1</f>
        <v>3</v>
      </c>
      <c r="F193">
        <f t="shared" si="121"/>
        <v>4</v>
      </c>
      <c r="G193">
        <f t="shared" si="121"/>
        <v>4</v>
      </c>
      <c r="H193">
        <f t="shared" si="121"/>
        <v>4</v>
      </c>
      <c r="I193">
        <f t="shared" si="121"/>
        <v>4</v>
      </c>
      <c r="J193">
        <f t="shared" si="121"/>
        <v>4</v>
      </c>
      <c r="K193">
        <f t="shared" si="121"/>
        <v>4</v>
      </c>
      <c r="L193">
        <f t="shared" si="121"/>
        <v>5</v>
      </c>
      <c r="M193">
        <f t="shared" si="121"/>
        <v>3</v>
      </c>
      <c r="P193">
        <f t="shared" si="106"/>
        <v>3.3420562548163377</v>
      </c>
      <c r="Q193">
        <f t="shared" si="97"/>
        <v>3.6180668708857469</v>
      </c>
      <c r="R193">
        <f t="shared" si="98"/>
        <v>3.3919376914553871</v>
      </c>
      <c r="S193">
        <f t="shared" si="99"/>
        <v>3.0150557257381219</v>
      </c>
      <c r="T193">
        <f t="shared" si="100"/>
        <v>2.8266147428794897</v>
      </c>
      <c r="U193">
        <f t="shared" si="101"/>
        <v>2.5439532685915403</v>
      </c>
      <c r="V193">
        <f t="shared" si="102"/>
        <v>2.0873462716648539</v>
      </c>
      <c r="W193">
        <f t="shared" si="107"/>
        <v>2.4595219191289064</v>
      </c>
      <c r="X193">
        <f t="shared" si="108"/>
        <v>2.9108231896787449</v>
      </c>
    </row>
    <row r="194" spans="1:24" x14ac:dyDescent="0.25">
      <c r="A194">
        <f t="shared" si="104"/>
        <v>0.85550458715596334</v>
      </c>
      <c r="B194" s="3">
        <v>373</v>
      </c>
      <c r="C194" s="3">
        <v>436</v>
      </c>
      <c r="E194">
        <f t="shared" ref="E194:M194" si="122">E94+1</f>
        <v>4</v>
      </c>
      <c r="F194">
        <f t="shared" si="122"/>
        <v>5</v>
      </c>
      <c r="G194">
        <f t="shared" si="122"/>
        <v>5</v>
      </c>
      <c r="H194">
        <f t="shared" si="122"/>
        <v>5</v>
      </c>
      <c r="I194">
        <f t="shared" si="122"/>
        <v>5</v>
      </c>
      <c r="J194">
        <f t="shared" si="122"/>
        <v>5</v>
      </c>
      <c r="K194">
        <f t="shared" si="122"/>
        <v>5</v>
      </c>
      <c r="L194">
        <f t="shared" si="122"/>
        <v>6</v>
      </c>
      <c r="M194">
        <f t="shared" si="122"/>
        <v>4</v>
      </c>
      <c r="P194">
        <f t="shared" si="106"/>
        <v>3.4475557989867185</v>
      </c>
      <c r="Q194">
        <f t="shared" si="97"/>
        <v>3.4997914929107599</v>
      </c>
      <c r="R194">
        <f t="shared" si="98"/>
        <v>3.2810545246038374</v>
      </c>
      <c r="S194">
        <f t="shared" si="99"/>
        <v>2.9164929107589668</v>
      </c>
      <c r="T194">
        <f t="shared" si="100"/>
        <v>2.7342121038365312</v>
      </c>
      <c r="U194">
        <f t="shared" si="101"/>
        <v>2.4607908934528777</v>
      </c>
      <c r="V194">
        <f t="shared" si="102"/>
        <v>2.0191104766792844</v>
      </c>
      <c r="W194">
        <f t="shared" si="107"/>
        <v>2.2844792821857047</v>
      </c>
      <c r="X194">
        <f t="shared" si="108"/>
        <v>3.002709889440045</v>
      </c>
    </row>
    <row r="195" spans="1:24" x14ac:dyDescent="0.25">
      <c r="A195">
        <f t="shared" si="104"/>
        <v>0.52222222222222225</v>
      </c>
      <c r="B195" s="3">
        <v>752</v>
      </c>
      <c r="C195" s="3">
        <v>1440</v>
      </c>
      <c r="E195">
        <f t="shared" ref="E195:M195" si="123">E95+1</f>
        <v>5</v>
      </c>
      <c r="F195">
        <f t="shared" si="123"/>
        <v>6</v>
      </c>
      <c r="G195">
        <f t="shared" si="123"/>
        <v>6</v>
      </c>
      <c r="H195">
        <f t="shared" si="123"/>
        <v>6</v>
      </c>
      <c r="I195">
        <f t="shared" si="123"/>
        <v>6</v>
      </c>
      <c r="J195">
        <f t="shared" si="123"/>
        <v>6</v>
      </c>
      <c r="K195">
        <f t="shared" si="123"/>
        <v>6</v>
      </c>
      <c r="L195">
        <f t="shared" si="123"/>
        <v>7</v>
      </c>
      <c r="M195">
        <f t="shared" si="123"/>
        <v>5</v>
      </c>
      <c r="P195">
        <f t="shared" si="106"/>
        <v>2.6704545454545463</v>
      </c>
      <c r="Q195">
        <f t="shared" si="97"/>
        <v>2.6030769230769235</v>
      </c>
      <c r="R195">
        <f t="shared" si="98"/>
        <v>2.440384615384616</v>
      </c>
      <c r="S195">
        <f t="shared" si="99"/>
        <v>2.1692307692307695</v>
      </c>
      <c r="T195">
        <f t="shared" si="100"/>
        <v>2.0336538461538463</v>
      </c>
      <c r="U195">
        <f t="shared" si="101"/>
        <v>1.8302884615384618</v>
      </c>
      <c r="V195">
        <f t="shared" si="102"/>
        <v>1.5017751479289945</v>
      </c>
      <c r="W195">
        <f t="shared" si="107"/>
        <v>1.6523437500000002</v>
      </c>
      <c r="X195">
        <f t="shared" si="108"/>
        <v>2.3258797653958947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F7AFB-BEAD-403E-A047-43E3F3DC4653}">
  <sheetPr codeName="Sheet3"/>
  <dimension ref="A1:R128"/>
  <sheetViews>
    <sheetView tabSelected="1" zoomScaleNormal="100" workbookViewId="0">
      <selection activeCell="C121" sqref="C121"/>
    </sheetView>
  </sheetViews>
  <sheetFormatPr defaultRowHeight="15" x14ac:dyDescent="0.25"/>
  <cols>
    <col min="17" max="17" width="12.5703125" bestFit="1" customWidth="1"/>
  </cols>
  <sheetData>
    <row r="1" spans="1:18" x14ac:dyDescent="0.25">
      <c r="A1" t="s">
        <v>17</v>
      </c>
    </row>
    <row r="2" spans="1:18" x14ac:dyDescent="0.25">
      <c r="B2" t="s">
        <v>14</v>
      </c>
      <c r="M2" s="5" t="s">
        <v>31</v>
      </c>
    </row>
    <row r="3" spans="1:18" x14ac:dyDescent="0.25">
      <c r="C3" t="str">
        <f>"&lt;fontSize name="""&amp;$R$3&amp;"""&gt;"</f>
        <v>&lt;fontSize name="medium"&gt;</v>
      </c>
      <c r="Q3" t="s">
        <v>25</v>
      </c>
      <c r="R3" t="s">
        <v>26</v>
      </c>
    </row>
    <row r="4" spans="1:18" x14ac:dyDescent="0.25">
      <c r="D4" t="s">
        <v>28</v>
      </c>
    </row>
    <row r="5" spans="1:18" x14ac:dyDescent="0.25">
      <c r="E5" t="str">
        <f ca="1">Sheet1!O107</f>
        <v>&lt;gridItemSize&gt;0.132 0.25276&lt;/gridItemSize&gt;</v>
      </c>
    </row>
    <row r="6" spans="1:18" x14ac:dyDescent="0.25">
      <c r="E6" t="str">
        <f ca="1">Sheet1!O108</f>
        <v>&lt;gridItemSpacing&gt;0.01 0.01&lt;/gridItemSpacing&gt;</v>
      </c>
    </row>
    <row r="7" spans="1:18" x14ac:dyDescent="0.25">
      <c r="D7" t="s">
        <v>29</v>
      </c>
    </row>
    <row r="8" spans="1:18" x14ac:dyDescent="0.25">
      <c r="C8" t="s">
        <v>27</v>
      </c>
    </row>
    <row r="9" spans="1:18" x14ac:dyDescent="0.25">
      <c r="C9" t="str">
        <f>"&lt;fontSize name="""&amp;$R$9&amp;"""&gt;"</f>
        <v>&lt;fontSize name="large"&gt;</v>
      </c>
      <c r="Q9" t="s">
        <v>25</v>
      </c>
      <c r="R9" t="s">
        <v>30</v>
      </c>
    </row>
    <row r="10" spans="1:18" x14ac:dyDescent="0.25">
      <c r="D10" t="s">
        <v>28</v>
      </c>
    </row>
    <row r="11" spans="1:18" x14ac:dyDescent="0.25">
      <c r="E11" t="str">
        <f ca="1">Sheet1!O7</f>
        <v>&lt;gridItemSize&gt;0.1675 0.32074&lt;/gridItemSize&gt;</v>
      </c>
    </row>
    <row r="12" spans="1:18" x14ac:dyDescent="0.25">
      <c r="E12" t="str">
        <f ca="1">Sheet1!O8</f>
        <v>&lt;gridItemSpacing&gt;0.01 0.01&lt;/gridItemSpacing&gt;</v>
      </c>
    </row>
    <row r="13" spans="1:18" x14ac:dyDescent="0.25">
      <c r="D13" t="s">
        <v>29</v>
      </c>
    </row>
    <row r="14" spans="1:18" x14ac:dyDescent="0.25">
      <c r="C14" t="s">
        <v>27</v>
      </c>
    </row>
    <row r="15" spans="1:18" x14ac:dyDescent="0.25">
      <c r="B15" t="s">
        <v>8</v>
      </c>
    </row>
    <row r="16" spans="1:18" x14ac:dyDescent="0.25">
      <c r="B16" t="s">
        <v>13</v>
      </c>
    </row>
    <row r="17" spans="2:5" x14ac:dyDescent="0.25">
      <c r="C17" t="str">
        <f>"&lt;fontSize name="""&amp;$R$3&amp;"""&gt;"</f>
        <v>&lt;fontSize name="medium"&gt;</v>
      </c>
    </row>
    <row r="18" spans="2:5" x14ac:dyDescent="0.25">
      <c r="D18" t="s">
        <v>28</v>
      </c>
    </row>
    <row r="19" spans="2:5" x14ac:dyDescent="0.25">
      <c r="E19" t="str">
        <f ca="1">Sheet1!P107</f>
        <v>&lt;gridItemSize&gt;0.10833 0.2593&lt;/gridItemSize&gt;</v>
      </c>
    </row>
    <row r="20" spans="2:5" x14ac:dyDescent="0.25">
      <c r="E20" t="str">
        <f ca="1">Sheet1!P108</f>
        <v>&lt;gridItemSpacing&gt;0.01 0.0125&lt;/gridItemSpacing&gt;</v>
      </c>
    </row>
    <row r="21" spans="2:5" x14ac:dyDescent="0.25">
      <c r="D21" t="s">
        <v>29</v>
      </c>
    </row>
    <row r="22" spans="2:5" x14ac:dyDescent="0.25">
      <c r="C22" t="s">
        <v>27</v>
      </c>
    </row>
    <row r="23" spans="2:5" x14ac:dyDescent="0.25">
      <c r="C23" t="str">
        <f>"&lt;fontSize name="""&amp;$R$9&amp;"""&gt;"</f>
        <v>&lt;fontSize name="large"&gt;</v>
      </c>
    </row>
    <row r="24" spans="2:5" x14ac:dyDescent="0.25">
      <c r="D24" t="s">
        <v>28</v>
      </c>
    </row>
    <row r="25" spans="2:5" x14ac:dyDescent="0.25">
      <c r="E25" t="str">
        <f ca="1">Sheet1!P7</f>
        <v>&lt;gridItemSize&gt;0.132 0.31595&lt;/gridItemSize&gt;</v>
      </c>
    </row>
    <row r="26" spans="2:5" x14ac:dyDescent="0.25">
      <c r="E26" t="str">
        <f ca="1">Sheet1!P8</f>
        <v>&lt;gridItemSpacing&gt;0.01 0.0125&lt;/gridItemSpacing&gt;</v>
      </c>
    </row>
    <row r="27" spans="2:5" x14ac:dyDescent="0.25">
      <c r="D27" t="s">
        <v>29</v>
      </c>
    </row>
    <row r="28" spans="2:5" x14ac:dyDescent="0.25">
      <c r="C28" t="s">
        <v>27</v>
      </c>
    </row>
    <row r="29" spans="2:5" x14ac:dyDescent="0.25">
      <c r="B29" t="s">
        <v>8</v>
      </c>
    </row>
    <row r="30" spans="2:5" x14ac:dyDescent="0.25">
      <c r="B30" t="s">
        <v>12</v>
      </c>
    </row>
    <row r="31" spans="2:5" x14ac:dyDescent="0.25">
      <c r="C31" t="str">
        <f>"&lt;fontSize name="""&amp;$R$3&amp;"""&gt;"</f>
        <v>&lt;fontSize name="medium"&gt;</v>
      </c>
    </row>
    <row r="32" spans="2:5" x14ac:dyDescent="0.25">
      <c r="D32" t="s">
        <v>28</v>
      </c>
    </row>
    <row r="33" spans="2:5" x14ac:dyDescent="0.25">
      <c r="E33" t="str">
        <f ca="1">Sheet1!Q107</f>
        <v>&lt;gridItemSize&gt;0.10833 0.27659&lt;/gridItemSize&gt;</v>
      </c>
    </row>
    <row r="34" spans="2:5" x14ac:dyDescent="0.25">
      <c r="E34" t="str">
        <f ca="1">Sheet1!Q108</f>
        <v>&lt;gridItemSpacing&gt;0.01 0.01333&lt;/gridItemSpacing&gt;</v>
      </c>
    </row>
    <row r="35" spans="2:5" x14ac:dyDescent="0.25">
      <c r="D35" t="s">
        <v>29</v>
      </c>
    </row>
    <row r="36" spans="2:5" x14ac:dyDescent="0.25">
      <c r="C36" t="s">
        <v>27</v>
      </c>
    </row>
    <row r="37" spans="2:5" x14ac:dyDescent="0.25">
      <c r="C37" t="str">
        <f>"&lt;fontSize name="""&amp;$R$9&amp;"""&gt;"</f>
        <v>&lt;fontSize name="large"&gt;</v>
      </c>
    </row>
    <row r="38" spans="2:5" x14ac:dyDescent="0.25">
      <c r="D38" t="s">
        <v>28</v>
      </c>
    </row>
    <row r="39" spans="2:5" x14ac:dyDescent="0.25">
      <c r="E39" t="str">
        <f ca="1">Sheet1!Q7</f>
        <v>&lt;gridItemSize&gt;0.132 0.33702&lt;/gridItemSize&gt;</v>
      </c>
    </row>
    <row r="40" spans="2:5" x14ac:dyDescent="0.25">
      <c r="E40" t="str">
        <f ca="1">Sheet1!Q8</f>
        <v>&lt;gridItemSpacing&gt;0.01 0.01333&lt;/gridItemSpacing&gt;</v>
      </c>
    </row>
    <row r="41" spans="2:5" x14ac:dyDescent="0.25">
      <c r="D41" t="s">
        <v>29</v>
      </c>
    </row>
    <row r="42" spans="2:5" x14ac:dyDescent="0.25">
      <c r="C42" t="s">
        <v>27</v>
      </c>
    </row>
    <row r="43" spans="2:5" x14ac:dyDescent="0.25">
      <c r="B43" t="s">
        <v>8</v>
      </c>
    </row>
    <row r="44" spans="2:5" x14ac:dyDescent="0.25">
      <c r="B44" t="s">
        <v>15</v>
      </c>
    </row>
    <row r="45" spans="2:5" x14ac:dyDescent="0.25">
      <c r="C45" t="str">
        <f>"&lt;fontSize name="""&amp;$R$3&amp;"""&gt;"</f>
        <v>&lt;fontSize name="medium"&gt;</v>
      </c>
    </row>
    <row r="46" spans="2:5" x14ac:dyDescent="0.25">
      <c r="D46" t="s">
        <v>28</v>
      </c>
    </row>
    <row r="47" spans="2:5" x14ac:dyDescent="0.25">
      <c r="E47" t="str">
        <f ca="1">Sheet1!R107</f>
        <v>&lt;gridItemSize&gt;0.10833 0.31117&lt;/gridItemSize&gt;</v>
      </c>
    </row>
    <row r="48" spans="2:5" x14ac:dyDescent="0.25">
      <c r="E48" t="str">
        <f ca="1">Sheet1!R108</f>
        <v>&lt;gridItemSpacing&gt;0.01 0.015&lt;/gridItemSpacing&gt;</v>
      </c>
    </row>
    <row r="49" spans="2:5" x14ac:dyDescent="0.25">
      <c r="D49" t="s">
        <v>29</v>
      </c>
    </row>
    <row r="50" spans="2:5" x14ac:dyDescent="0.25">
      <c r="C50" t="s">
        <v>27</v>
      </c>
    </row>
    <row r="51" spans="2:5" x14ac:dyDescent="0.25">
      <c r="C51" t="str">
        <f>"&lt;fontSize name="""&amp;$R$9&amp;"""&gt;"</f>
        <v>&lt;fontSize name="large"&gt;</v>
      </c>
    </row>
    <row r="52" spans="2:5" x14ac:dyDescent="0.25">
      <c r="D52" t="s">
        <v>28</v>
      </c>
    </row>
    <row r="53" spans="2:5" x14ac:dyDescent="0.25">
      <c r="E53" t="str">
        <f ca="1">Sheet1!R7</f>
        <v>&lt;gridItemSize&gt;0.132 0.37914&lt;/gridItemSize&gt;</v>
      </c>
    </row>
    <row r="54" spans="2:5" x14ac:dyDescent="0.25">
      <c r="E54" t="str">
        <f ca="1">Sheet1!R8</f>
        <v>&lt;gridItemSpacing&gt;0.01 0.015&lt;/gridItemSpacing&gt;</v>
      </c>
    </row>
    <row r="55" spans="2:5" x14ac:dyDescent="0.25">
      <c r="D55" t="s">
        <v>29</v>
      </c>
    </row>
    <row r="56" spans="2:5" x14ac:dyDescent="0.25">
      <c r="C56" t="s">
        <v>27</v>
      </c>
    </row>
    <row r="57" spans="2:5" x14ac:dyDescent="0.25">
      <c r="B57" t="s">
        <v>8</v>
      </c>
    </row>
    <row r="58" spans="2:5" x14ac:dyDescent="0.25">
      <c r="B58" t="s">
        <v>9</v>
      </c>
    </row>
    <row r="59" spans="2:5" x14ac:dyDescent="0.25">
      <c r="C59" t="str">
        <f>"&lt;fontSize name="""&amp;$R$3&amp;"""&gt;"</f>
        <v>&lt;fontSize name="medium"&gt;</v>
      </c>
    </row>
    <row r="60" spans="2:5" x14ac:dyDescent="0.25">
      <c r="D60" t="s">
        <v>28</v>
      </c>
    </row>
    <row r="61" spans="2:5" x14ac:dyDescent="0.25">
      <c r="E61" t="str">
        <f ca="1">Sheet1!S107</f>
        <v>&lt;gridItemSize&gt;0.10833 0.33191&lt;/gridItemSize&gt;</v>
      </c>
    </row>
    <row r="62" spans="2:5" x14ac:dyDescent="0.25">
      <c r="E62" t="str">
        <f ca="1">Sheet1!S108</f>
        <v>&lt;gridItemSpacing&gt;0.01 0.016&lt;/gridItemSpacing&gt;</v>
      </c>
    </row>
    <row r="63" spans="2:5" x14ac:dyDescent="0.25">
      <c r="D63" t="s">
        <v>29</v>
      </c>
    </row>
    <row r="64" spans="2:5" x14ac:dyDescent="0.25">
      <c r="C64" t="s">
        <v>27</v>
      </c>
    </row>
    <row r="65" spans="2:5" x14ac:dyDescent="0.25">
      <c r="C65" t="str">
        <f>"&lt;fontSize name="""&amp;$R$9&amp;"""&gt;"</f>
        <v>&lt;fontSize name="large"&gt;</v>
      </c>
    </row>
    <row r="66" spans="2:5" x14ac:dyDescent="0.25">
      <c r="D66" t="s">
        <v>28</v>
      </c>
    </row>
    <row r="67" spans="2:5" x14ac:dyDescent="0.25">
      <c r="E67" t="str">
        <f ca="1">Sheet1!S7</f>
        <v>&lt;gridItemSize&gt;0.132 0.40442&lt;/gridItemSize&gt;</v>
      </c>
    </row>
    <row r="68" spans="2:5" x14ac:dyDescent="0.25">
      <c r="E68" t="str">
        <f ca="1">Sheet1!S8</f>
        <v>&lt;gridItemSpacing&gt;0.01 0.016&lt;/gridItemSpacing&gt;</v>
      </c>
    </row>
    <row r="69" spans="2:5" x14ac:dyDescent="0.25">
      <c r="D69" t="s">
        <v>29</v>
      </c>
    </row>
    <row r="70" spans="2:5" x14ac:dyDescent="0.25">
      <c r="C70" t="s">
        <v>27</v>
      </c>
    </row>
    <row r="71" spans="2:5" x14ac:dyDescent="0.25">
      <c r="B71" t="s">
        <v>8</v>
      </c>
    </row>
    <row r="72" spans="2:5" x14ac:dyDescent="0.25">
      <c r="B72" t="s">
        <v>7</v>
      </c>
    </row>
    <row r="73" spans="2:5" x14ac:dyDescent="0.25">
      <c r="C73" t="str">
        <f>"&lt;fontSize name="""&amp;$R$3&amp;"""&gt;"</f>
        <v>&lt;fontSize name="medium"&gt;</v>
      </c>
    </row>
    <row r="74" spans="2:5" x14ac:dyDescent="0.25">
      <c r="D74" t="s">
        <v>28</v>
      </c>
    </row>
    <row r="75" spans="2:5" x14ac:dyDescent="0.25">
      <c r="E75" t="str">
        <f ca="1">Sheet1!T107</f>
        <v>&lt;gridItemSize&gt;0.10833 0.36879&lt;/gridItemSize&gt;</v>
      </c>
    </row>
    <row r="76" spans="2:5" x14ac:dyDescent="0.25">
      <c r="E76" t="str">
        <f ca="1">Sheet1!T108</f>
        <v>&lt;gridItemSpacing&gt;0.01 0.01777&lt;/gridItemSpacing&gt;</v>
      </c>
    </row>
    <row r="77" spans="2:5" x14ac:dyDescent="0.25">
      <c r="D77" t="s">
        <v>29</v>
      </c>
    </row>
    <row r="78" spans="2:5" x14ac:dyDescent="0.25">
      <c r="C78" t="s">
        <v>27</v>
      </c>
    </row>
    <row r="79" spans="2:5" x14ac:dyDescent="0.25">
      <c r="C79" t="str">
        <f>"&lt;fontSize name="""&amp;$R$9&amp;"""&gt;"</f>
        <v>&lt;fontSize name="large"&gt;</v>
      </c>
    </row>
    <row r="80" spans="2:5" x14ac:dyDescent="0.25">
      <c r="D80" t="s">
        <v>28</v>
      </c>
    </row>
    <row r="81" spans="2:5" x14ac:dyDescent="0.25">
      <c r="E81" t="str">
        <f ca="1">Sheet1!T7</f>
        <v>&lt;gridItemSize&gt;0.132 0.44936&lt;/gridItemSize&gt;</v>
      </c>
    </row>
    <row r="82" spans="2:5" x14ac:dyDescent="0.25">
      <c r="E82" t="str">
        <f ca="1">Sheet1!T8</f>
        <v>&lt;gridItemSpacing&gt;0.01 0.01777&lt;/gridItemSpacing&gt;</v>
      </c>
    </row>
    <row r="83" spans="2:5" x14ac:dyDescent="0.25">
      <c r="D83" t="s">
        <v>29</v>
      </c>
    </row>
    <row r="84" spans="2:5" x14ac:dyDescent="0.25">
      <c r="C84" t="s">
        <v>27</v>
      </c>
    </row>
    <row r="85" spans="2:5" x14ac:dyDescent="0.25">
      <c r="B85" t="s">
        <v>8</v>
      </c>
    </row>
    <row r="86" spans="2:5" x14ac:dyDescent="0.25">
      <c r="B86" t="s">
        <v>10</v>
      </c>
    </row>
    <row r="87" spans="2:5" x14ac:dyDescent="0.25">
      <c r="C87" t="str">
        <f>"&lt;fontSize name="""&amp;$R$3&amp;"""&gt;"</f>
        <v>&lt;fontSize name="medium"&gt;</v>
      </c>
    </row>
    <row r="88" spans="2:5" x14ac:dyDescent="0.25">
      <c r="D88" t="s">
        <v>28</v>
      </c>
    </row>
    <row r="89" spans="2:5" x14ac:dyDescent="0.25">
      <c r="E89" t="str">
        <f ca="1">Sheet1!U107</f>
        <v>&lt;gridItemSize&gt;0.10833 0.44946&lt;/gridItemSize&gt;</v>
      </c>
    </row>
    <row r="90" spans="2:5" x14ac:dyDescent="0.25">
      <c r="E90" t="str">
        <f ca="1">Sheet1!U108</f>
        <v>&lt;gridItemSpacing&gt;0.01 0.02166&lt;/gridItemSpacing&gt;</v>
      </c>
    </row>
    <row r="91" spans="2:5" x14ac:dyDescent="0.25">
      <c r="D91" t="s">
        <v>29</v>
      </c>
    </row>
    <row r="92" spans="2:5" x14ac:dyDescent="0.25">
      <c r="C92" t="s">
        <v>27</v>
      </c>
    </row>
    <row r="93" spans="2:5" x14ac:dyDescent="0.25">
      <c r="C93" t="str">
        <f>"&lt;fontSize name="""&amp;$R$9&amp;"""&gt;"</f>
        <v>&lt;fontSize name="large"&gt;</v>
      </c>
    </row>
    <row r="94" spans="2:5" x14ac:dyDescent="0.25">
      <c r="D94" t="s">
        <v>28</v>
      </c>
    </row>
    <row r="95" spans="2:5" x14ac:dyDescent="0.25">
      <c r="E95" t="str">
        <f ca="1">Sheet1!U7</f>
        <v>&lt;gridItemSize&gt;0.132 0.54765&lt;/gridItemSize&gt;</v>
      </c>
    </row>
    <row r="96" spans="2:5" x14ac:dyDescent="0.25">
      <c r="E96" t="str">
        <f ca="1">Sheet1!U8</f>
        <v>&lt;gridItemSpacing&gt;0.01 0.02166&lt;/gridItemSpacing&gt;</v>
      </c>
    </row>
    <row r="97" spans="2:5" x14ac:dyDescent="0.25">
      <c r="D97" t="s">
        <v>29</v>
      </c>
    </row>
    <row r="98" spans="2:5" x14ac:dyDescent="0.25">
      <c r="C98" t="s">
        <v>27</v>
      </c>
    </row>
    <row r="99" spans="2:5" x14ac:dyDescent="0.25">
      <c r="B99" t="s">
        <v>8</v>
      </c>
    </row>
    <row r="100" spans="2:5" x14ac:dyDescent="0.25">
      <c r="B100" t="s">
        <v>11</v>
      </c>
    </row>
    <row r="101" spans="2:5" x14ac:dyDescent="0.25">
      <c r="C101" t="str">
        <f>"&lt;fontSize name="""&amp;$R$3&amp;"""&gt;"</f>
        <v>&lt;fontSize name="medium"&gt;</v>
      </c>
    </row>
    <row r="102" spans="2:5" x14ac:dyDescent="0.25">
      <c r="D102" t="s">
        <v>28</v>
      </c>
    </row>
    <row r="103" spans="2:5" x14ac:dyDescent="0.25">
      <c r="E103" t="str">
        <f ca="1">Sheet1!V107</f>
        <v>&lt;gridItemSize&gt;0.09142 0.40851&lt;/gridItemSize&gt;</v>
      </c>
    </row>
    <row r="104" spans="2:5" x14ac:dyDescent="0.25">
      <c r="E104" t="str">
        <f ca="1">Sheet1!V108</f>
        <v>&lt;gridItemSpacing&gt;0.01 0.02333&lt;/gridItemSpacing&gt;</v>
      </c>
    </row>
    <row r="105" spans="2:5" x14ac:dyDescent="0.25">
      <c r="D105" t="s">
        <v>29</v>
      </c>
    </row>
    <row r="106" spans="2:5" x14ac:dyDescent="0.25">
      <c r="C106" t="s">
        <v>27</v>
      </c>
    </row>
    <row r="107" spans="2:5" x14ac:dyDescent="0.25">
      <c r="C107" t="str">
        <f>"&lt;fontSize name="""&amp;$R$9&amp;"""&gt;"</f>
        <v>&lt;fontSize name="large"&gt;</v>
      </c>
    </row>
    <row r="108" spans="2:5" x14ac:dyDescent="0.25">
      <c r="D108" t="s">
        <v>28</v>
      </c>
    </row>
    <row r="109" spans="2:5" x14ac:dyDescent="0.25">
      <c r="E109" t="str">
        <f ca="1">Sheet1!V7</f>
        <v>&lt;gridItemSize&gt;0.10833 0.48404&lt;/gridItemSize&gt;</v>
      </c>
    </row>
    <row r="110" spans="2:5" x14ac:dyDescent="0.25">
      <c r="E110" t="str">
        <f ca="1">Sheet1!V8</f>
        <v>&lt;gridItemSpacing&gt;0.01 0.02333&lt;/gridItemSpacing&gt;</v>
      </c>
    </row>
    <row r="111" spans="2:5" x14ac:dyDescent="0.25">
      <c r="D111" t="s">
        <v>29</v>
      </c>
    </row>
    <row r="112" spans="2:5" x14ac:dyDescent="0.25">
      <c r="C112" t="s">
        <v>27</v>
      </c>
    </row>
    <row r="113" spans="1:5" x14ac:dyDescent="0.25">
      <c r="B113" t="s">
        <v>8</v>
      </c>
    </row>
    <row r="114" spans="1:5" x14ac:dyDescent="0.25">
      <c r="B114" t="s">
        <v>22</v>
      </c>
    </row>
    <row r="115" spans="1:5" x14ac:dyDescent="0.25">
      <c r="C115" t="str">
        <f>"&lt;fontSize name="""&amp;$R$3&amp;"""&gt;"</f>
        <v>&lt;fontSize name="medium"&gt;</v>
      </c>
    </row>
    <row r="116" spans="1:5" x14ac:dyDescent="0.25">
      <c r="D116" t="s">
        <v>28</v>
      </c>
    </row>
    <row r="117" spans="1:5" x14ac:dyDescent="0.25">
      <c r="E117" t="str">
        <f ca="1">Sheet1!W107</f>
        <v>&lt;gridItemSize&gt;0.132 0.29021&lt;/gridItemSize&gt;</v>
      </c>
    </row>
    <row r="118" spans="1:5" x14ac:dyDescent="0.25">
      <c r="E118" t="str">
        <f ca="1">Sheet1!W108</f>
        <v>&lt;gridItemSpacing&gt;0.01 0.01148&lt;/gridItemSpacing&gt;</v>
      </c>
    </row>
    <row r="119" spans="1:5" x14ac:dyDescent="0.25">
      <c r="D119" t="s">
        <v>29</v>
      </c>
    </row>
    <row r="120" spans="1:5" x14ac:dyDescent="0.25">
      <c r="C120" t="s">
        <v>27</v>
      </c>
    </row>
    <row r="121" spans="1:5" x14ac:dyDescent="0.25">
      <c r="C121" t="str">
        <f>"&lt;fontSize name="""&amp;$R$9&amp;"""&gt;"</f>
        <v>&lt;fontSize name="large"&gt;</v>
      </c>
    </row>
    <row r="122" spans="1:5" x14ac:dyDescent="0.25">
      <c r="D122" t="s">
        <v>28</v>
      </c>
    </row>
    <row r="123" spans="1:5" x14ac:dyDescent="0.25">
      <c r="E123" t="str">
        <f ca="1">Sheet1!W7</f>
        <v>&lt;gridItemSize&gt;0.1675 0.36826&lt;/gridItemSize&gt;</v>
      </c>
    </row>
    <row r="124" spans="1:5" x14ac:dyDescent="0.25">
      <c r="E124" t="str">
        <f ca="1">Sheet1!W8</f>
        <v>&lt;gridItemSpacing&gt;0.01 0.01148&lt;/gridItemSpacing&gt;</v>
      </c>
    </row>
    <row r="125" spans="1:5" x14ac:dyDescent="0.25">
      <c r="D125" t="s">
        <v>29</v>
      </c>
    </row>
    <row r="126" spans="1:5" x14ac:dyDescent="0.25">
      <c r="C126" t="s">
        <v>27</v>
      </c>
    </row>
    <row r="127" spans="1:5" x14ac:dyDescent="0.25">
      <c r="B127" t="s">
        <v>8</v>
      </c>
    </row>
    <row r="128" spans="1:5" x14ac:dyDescent="0.25">
      <c r="A128" t="s">
        <v>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PlainTextAsXml">
                <anchor moveWithCells="1" sizeWithCells="1">
                  <from>
                    <xdr:col>11</xdr:col>
                    <xdr:colOff>600075</xdr:colOff>
                    <xdr:row>4</xdr:row>
                    <xdr:rowOff>57150</xdr:rowOff>
                  </from>
                  <to>
                    <xdr:col>13</xdr:col>
                    <xdr:colOff>142875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87A843-C29A-47B0-92ED-8457329641F0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xml!dropdownList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2025-04-22T01:17:51Z</dcterms:created>
  <dcterms:modified xsi:type="dcterms:W3CDTF">2025-08-30T01:29:36Z</dcterms:modified>
</cp:coreProperties>
</file>